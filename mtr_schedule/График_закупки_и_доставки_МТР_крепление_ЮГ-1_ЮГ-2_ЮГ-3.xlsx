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Инструкция" sheetId="1" state="visible" r:id="rId1"/>
    <sheet name="Справочник" sheetId="2" state="visible" r:id="rId2"/>
    <sheet name="ЮГ-1" sheetId="3" state="visible" r:id="rId3"/>
    <sheet name="ЮГ-2" sheetId="4" state="visible" r:id="rId4"/>
    <sheet name="ЮГ-3" sheetId="5" state="visible" r:id="rId5"/>
    <sheet name="СВОДНЫЙ ГРАФИК" sheetId="6" state="visible" r:id="rId6"/>
    <sheet name="Сводная потребность" sheetId="7" state="visible" r:id="rId7"/>
  </sheets>
  <definedNames>
    <definedName name="_xlnm.Print_Titles" localSheetId="2">'ЮГ-1'!$4:$4</definedName>
    <definedName name="_xlnm.Print_Titles" localSheetId="3">'ЮГ-2'!$4:$4</definedName>
    <definedName name="_xlnm.Print_Titles" localSheetId="4">'ЮГ-3'!$4:$4</definedName>
    <definedName name="_xlnm._FilterDatabase" localSheetId="5" hidden="1">'СВОДНЫЙ ГРАФИК'!$A$5:$L$50</definedName>
    <definedName name="_xlnm.Print_Titles" localSheetId="5">'СВОДНЫЙ ГРАФИК'!$4:$5</definedName>
    <definedName name="_xlnm._FilterDatabase" localSheetId="6" hidden="1">'Сводная потребность'!$A$4:$K$18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d"/>
  </numFmts>
  <fonts count="1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9"/>
    </font>
    <font>
      <name val="Calibri"/>
      <sz val="9"/>
    </font>
    <font>
      <name val="Calibri"/>
      <b val="1"/>
      <color rgb="00006100"/>
      <sz val="9"/>
    </font>
    <font>
      <name val="Calibri"/>
      <b val="1"/>
      <color rgb="009C5700"/>
      <sz val="9"/>
    </font>
    <font>
      <name val="Calibri"/>
      <b val="1"/>
      <color rgb="009C0006"/>
      <sz val="9"/>
    </font>
    <font>
      <name val="Calibri"/>
      <b val="1"/>
      <color rgb="00FFFFFF"/>
      <sz val="9"/>
    </font>
    <font>
      <name val="Calibri"/>
      <b val="1"/>
      <color rgb="000000C0"/>
      <sz val="9"/>
    </font>
    <font>
      <name val="Calibri"/>
      <color rgb="00595959"/>
      <sz val="8"/>
    </font>
    <font>
      <name val="Calibri"/>
      <b val="1"/>
      <color rgb="001F4E79"/>
      <sz val="10"/>
    </font>
    <font>
      <name val="Calibri"/>
      <i val="1"/>
      <color rgb="00595959"/>
      <sz val="8"/>
    </font>
    <font>
      <name val="Calibri"/>
      <color rgb="009C0006"/>
      <sz val="8"/>
    </font>
    <font>
      <name val="Calibri"/>
      <color rgb="00595959"/>
      <sz val="6"/>
    </font>
    <font>
      <name val="Calibri"/>
      <b val="1"/>
      <color rgb="00FFFFFF"/>
      <sz val="8"/>
    </font>
  </fonts>
  <fills count="1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F7F9FC"/>
      </patternFill>
    </fill>
    <fill>
      <patternFill patternType="solid">
        <fgColor rgb="00E2EFDA"/>
      </patternFill>
    </fill>
    <fill>
      <patternFill patternType="solid">
        <fgColor rgb="00A9D08E"/>
      </patternFill>
    </fill>
    <fill>
      <patternFill patternType="solid">
        <fgColor rgb="00002060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thin">
        <color rgb="00B4C6E7"/>
      </bottom>
    </border>
    <border>
      <left style="hair">
        <color rgb="00D9D9D9"/>
      </left>
      <right style="hair">
        <color rgb="00D9D9D9"/>
      </right>
      <top style="thin">
        <color rgb="00B4C6E7"/>
      </top>
      <bottom style="thin">
        <color rgb="00B4C6E7"/>
      </bottom>
    </border>
    <border>
      <left style="hair">
        <color rgb="00EDEDED"/>
      </left>
      <right style="hair">
        <color rgb="00EDEDED"/>
      </right>
      <top style="hair">
        <color rgb="00EDEDED"/>
      </top>
      <bottom style="hair">
        <color rgb="00EDEDED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5" fontId="10" fillId="7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165" fontId="10" fillId="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165" fontId="4" fillId="8" borderId="2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8" borderId="3" applyAlignment="1" pivotButton="0" quotePrefix="0" xfId="0">
      <alignment horizontal="center" vertical="center" wrapText="1"/>
    </xf>
    <xf numFmtId="0" fontId="12" fillId="8" borderId="3" applyAlignment="1" pivotButton="0" quotePrefix="0" xfId="0">
      <alignment horizontal="left" vertical="center" wrapText="1"/>
    </xf>
    <xf numFmtId="0" fontId="13" fillId="8" borderId="3" applyAlignment="1" pivotButton="0" quotePrefix="0" xfId="0">
      <alignment horizontal="center" vertical="center" wrapText="1"/>
    </xf>
    <xf numFmtId="165" fontId="12" fillId="8" borderId="3" applyAlignment="1" pivotButton="0" quotePrefix="0" xfId="0">
      <alignment horizontal="center" vertical="center" wrapText="1"/>
    </xf>
    <xf numFmtId="165" fontId="10" fillId="7" borderId="3" applyAlignment="1" pivotButton="0" quotePrefix="0" xfId="0">
      <alignment horizontal="center" vertical="center" wrapText="1"/>
    </xf>
    <xf numFmtId="0" fontId="14" fillId="8" borderId="3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165" fontId="5" fillId="9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10" borderId="1" pivotButton="0" quotePrefix="0" xfId="0"/>
    <xf numFmtId="0" fontId="5" fillId="0" borderId="0" pivotButton="0" quotePrefix="0" xfId="0"/>
    <xf numFmtId="0" fontId="0" fillId="11" borderId="1" pivotButton="0" quotePrefix="0" xfId="0"/>
    <xf numFmtId="0" fontId="0" fillId="12" borderId="1" pivotButton="0" quotePrefix="0" xfId="0"/>
    <xf numFmtId="0" fontId="16" fillId="6" borderId="1" applyAlignment="1" pivotButton="0" quotePrefix="0" xfId="0">
      <alignment horizontal="center" vertical="center" wrapText="1"/>
    </xf>
    <xf numFmtId="166" fontId="15" fillId="0" borderId="4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0" fillId="13" borderId="0" pivotButton="0" quotePrefix="0" xfId="0"/>
    <xf numFmtId="165" fontId="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0" fillId="0" borderId="5" pivotButton="0" quotePrefix="0" xfId="0"/>
  </cellXfs>
  <cellStyles count="1">
    <cellStyle name="Normal" xfId="0" builtinId="0" hidden="0"/>
  </cellStyles>
  <dxfs count="19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5700"/>
      </font>
      <fill>
        <patternFill patternType="solid">
          <bgColor rgb="00FFEB9C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006100"/>
        <sz val="11"/>
      </font>
      <fill>
        <patternFill patternType="solid">
          <bgColor rgb="00C6EFCE"/>
        </patternFill>
      </fill>
    </dxf>
    <dxf>
      <font>
        <b val="1"/>
        <color rgb="009C5700"/>
        <sz val="11"/>
      </font>
      <fill>
        <patternFill patternType="solid">
          <bgColor rgb="00FFEB9C"/>
        </patternFill>
      </fill>
    </dxf>
    <dxf>
      <font>
        <b val="1"/>
        <color rgb="009C0006"/>
        <sz val="11"/>
      </font>
      <fill>
        <patternFill patternType="solid">
          <bgColor rgb="00FFC7CE"/>
        </patternFill>
      </fill>
    </dxf>
    <dxf>
      <fill>
        <patternFill patternType="solid">
          <bgColor rgb="00FF0000"/>
        </patternFill>
      </fill>
    </dxf>
    <dxf>
      <fill>
        <patternFill patternType="solid">
          <bgColor rgb="00FFC000"/>
        </patternFill>
      </fill>
    </dxf>
    <dxf>
      <fill>
        <patternFill patternType="solid">
          <bgColor rgb="0000B050"/>
        </patternFill>
      </fill>
    </dxf>
    <dxf>
      <fill>
        <patternFill patternType="solid">
          <bgColor rgb="00404040"/>
        </patternFill>
      </fill>
    </dxf>
    <dxf>
      <fill>
        <patternFill patternType="solid">
          <bgColor rgb="00002060"/>
        </patternFill>
      </fill>
    </dxf>
    <dxf>
      <fill>
        <patternFill patternType="solid">
          <bgColor rgb="00F4B183"/>
        </patternFill>
      </fill>
    </dxf>
    <dxf>
      <fill>
        <patternFill patternType="solid">
          <bgColor rgb="00FFD966"/>
        </patternFill>
      </fill>
    </dxf>
    <dxf>
      <fill>
        <patternFill patternType="solid">
          <bgColor rgb="00A9D08E"/>
        </patternFill>
      </fill>
    </dxf>
    <dxf>
      <fill>
        <patternFill patternType="solid">
          <bgColor rgb="00FCE4D6"/>
        </patternFill>
      </fill>
    </dxf>
    <dxf>
      <fill>
        <patternFill patternType="solid">
          <bgColor rgb="00FFF2CC"/>
        </patternFill>
      </fill>
    </dxf>
    <dxf>
      <fill>
        <patternFill patternType="solid">
          <bgColor rgb="00E2EFDA"/>
        </patternFill>
      </fill>
    </dxf>
    <dxf>
      <fill>
        <patternFill patternType="solid">
          <bgColor rgb="00F2F2F2"/>
        </patternFill>
      </fill>
    </dxf>
    <dxf>
      <font>
        <b val="1"/>
        <color rgb="00FFFFFF"/>
      </font>
      <fill>
        <patternFill patternType="solid">
          <bgColor rgb="0040404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42" customWidth="1" min="2" max="2"/>
    <col width="96" customWidth="1" min="3" max="3"/>
  </cols>
  <sheetData>
    <row r="2">
      <c r="B2" s="1" t="inlineStr">
        <is>
          <t>ГРАФИК ЗАКУПКИ И ДОСТАВКИ МТР ДЛЯ КРЕПЛЕНИЯ СКВАЖИН ЮГ-1, ЮГ-2, ЮГ-3</t>
        </is>
      </c>
    </row>
    <row r="3">
      <c r="B3" s="2" t="inlineStr">
        <is>
          <t>Дата формирования: 15.09.2026. Логистическая схема унаследована из файла «График доставки цемента на скв. ГЕО-12».</t>
        </is>
      </c>
    </row>
    <row r="5">
      <c r="B5" s="3" t="inlineStr">
        <is>
          <t>СОСТАВ КНИГИ</t>
        </is>
      </c>
      <c r="C5" s="4" t="n"/>
    </row>
    <row r="6">
      <c r="B6" s="5" t="inlineStr">
        <is>
          <t>Справочник</t>
        </is>
      </c>
      <c r="C6" s="6" t="inlineStr">
        <is>
          <t>Единая база модели: длительности 8 этапов поставки по категориям МТР, программа крепления скважин и номенклатура с объемами. Все листы считаются формулами от этого листа — правка здесь пересчитывает всю книгу.</t>
        </is>
      </c>
    </row>
    <row r="7">
      <c r="B7" s="5" t="inlineStr">
        <is>
          <t>ЮГ-1 / ЮГ-2 / ЮГ-3</t>
        </is>
      </c>
      <c r="C7" s="6" t="inlineStr">
        <is>
          <t>Подробный график по каждой скважине: по каждой номенклатуре — ед.изм., кол-во, дата потребности и сроки (начало/окончание) по каждому из 8 этапов закупки и доставки.</t>
        </is>
      </c>
    </row>
    <row r="8">
      <c r="B8" s="5" t="inlineStr">
        <is>
          <t>СВОДНЫЙ ГРАФИК</t>
        </is>
      </c>
      <c r="C8" s="6" t="inlineStr">
        <is>
          <t>Диаграмма Ганта по всем 42 позициям (14 номенклатур х 3 скважины) с вертикальной линией по текущей дате. Линия окрашивается по статусу строки: зеленая — в графике, желтая — риск, красная — срыв графика.</t>
        </is>
      </c>
    </row>
    <row r="9">
      <c r="B9" s="5" t="inlineStr">
        <is>
          <t>Сводная потребность</t>
        </is>
      </c>
      <c r="C9" s="6" t="inlineStr">
        <is>
          <t>Суммарный объем закупки по номенклатуре на три скважины, самая ранняя дата потребности и худший статус.</t>
        </is>
      </c>
    </row>
    <row r="11">
      <c r="B11" s="3" t="inlineStr">
        <is>
          <t>ЛОГИКА РАСЧЕТА</t>
        </is>
      </c>
      <c r="C11" s="4" t="n"/>
    </row>
    <row r="12">
      <c r="B12" s="5" t="inlineStr">
        <is>
          <t>Дата потребности</t>
        </is>
      </c>
      <c r="C12" s="6" t="inlineStr">
        <is>
          <t>Дата операции по креплению минус 5 сут (МТР должен быть на скважине заблаговременно). Задается на листе «Справочник», блок 2.</t>
        </is>
      </c>
    </row>
    <row r="13">
      <c r="B13" s="5" t="inlineStr">
        <is>
          <t>Требуемая дата старта</t>
        </is>
      </c>
      <c r="C13" s="6" t="inlineStr">
        <is>
          <t>Дата потребности минус суммарная длительность цикла закупки и доставки. Крайний срок размещения заказа.</t>
        </is>
      </c>
    </row>
    <row r="14">
      <c r="B14" s="5" t="inlineStr">
        <is>
          <t>Дата начала (план/факт)</t>
        </is>
      </c>
      <c r="C14" s="6" t="inlineStr">
        <is>
          <t>Плановая дата размещения заказа. Принята как «требуемая дата старта минус 14 сут резерва», но не ранее 20.09.2026 (готовность закупочной процедуры). ЖЕЛТЫЕ ЯЧЕЙКИ — поле ввода: подставьте фактическую дату заключения договора, книга пересчитается.</t>
        </is>
      </c>
    </row>
    <row r="15">
      <c r="B15" s="5" t="inlineStr">
        <is>
          <t>Прогноз поставки на скважину</t>
        </is>
      </c>
      <c r="C15" s="6" t="inlineStr">
        <is>
          <t>Дата начала (план/факт) + длительности всех 8 этапов последовательно.</t>
        </is>
      </c>
    </row>
    <row r="16">
      <c r="B16" s="5" t="inlineStr">
        <is>
          <t>Запас, сут</t>
        </is>
      </c>
      <c r="C16" s="6" t="inlineStr">
        <is>
          <t>Дата потребности минус прогноз поставки. Отрицательное значение — опоздание.</t>
        </is>
      </c>
    </row>
    <row r="18">
      <c r="B18" s="3" t="inlineStr">
        <is>
          <t>ЛЕГЕНДА СТАТУСОВ</t>
        </is>
      </c>
      <c r="C18" s="4" t="n"/>
    </row>
    <row r="19">
      <c r="B19" s="7" t="inlineStr">
        <is>
          <t>В ГРАФИКЕ</t>
        </is>
      </c>
      <c r="C19" s="6" t="inlineStr">
        <is>
          <t>Запас &gt;= 14 сут. Поставка обеспечивает срок крепления.</t>
        </is>
      </c>
    </row>
    <row r="20">
      <c r="B20" s="8" t="inlineStr">
        <is>
          <t>РИСК</t>
        </is>
      </c>
      <c r="C20" s="6" t="inlineStr">
        <is>
          <t>Запас от 0 до 13 сут. Резерв времени исчерпан, любая задержка ведет к срыву.</t>
        </is>
      </c>
    </row>
    <row r="21">
      <c r="B21" s="9" t="inlineStr">
        <is>
          <t>СРЫВ ГРАФИКА</t>
        </is>
      </c>
      <c r="C21" s="6" t="inlineStr">
        <is>
          <t>Запас &lt; 0. Прогнозная поставка позже даты потребности — требуются компенсирующие мероприятия.</t>
        </is>
      </c>
    </row>
    <row r="23">
      <c r="B23" s="3" t="inlineStr">
        <is>
          <t>ПРИНЯТЫЕ ДОПУЩЕНИЯ (подлежат уточнению Заказчиком)</t>
        </is>
      </c>
      <c r="C23" s="4" t="n"/>
    </row>
    <row r="24">
      <c r="B24" s="5" t="inlineStr">
        <is>
          <t>Конструкция скважин</t>
        </is>
      </c>
      <c r="C24" s="6" t="inlineStr">
        <is>
          <t>Направление ОК-426 (0-50 м), кондуктор ОК-324 (0-500 м), эксплуатационная колонна ОК-245 (0-1800 м), хвостовик ОК-168 (1700-2500 м). Конструкция принята одинаковой для ЮГ-1, ЮГ-2, ЮГ-3.</t>
        </is>
      </c>
    </row>
    <row r="25">
      <c r="B25" s="5" t="inlineStr">
        <is>
          <t>Программа бурения</t>
        </is>
      </c>
      <c r="C25" s="6" t="inlineStr">
        <is>
          <t>Скважины строятся последовательно одной буровой установкой со сдвигом 60 суток между скважинами. Даты операций по креплению — блок 2 листа «Справочник».</t>
        </is>
      </c>
    </row>
    <row r="26">
      <c r="B26" s="5" t="inlineStr">
        <is>
          <t>Логистическая схема</t>
        </is>
      </c>
      <c r="C26" s="6" t="inlineStr">
        <is>
          <t>Завод-изготовитель (Тюмень/Урал) — ж/д до ст. Владивосток — перевалка на судно — морской переход до Петропавловска-Камчатского — доставка автотранспортом с базы Заказчика до куста. Длительности ж/д и морского плеча приняты по фактическим данным графика ГЕО-12.</t>
        </is>
      </c>
    </row>
    <row r="27">
      <c r="B27" s="5" t="inlineStr">
        <is>
          <t>Объемы тампонажных материалов</t>
        </is>
      </c>
      <c r="C27" s="6" t="inlineStr">
        <is>
          <t>Расчет по кольцевому пространству с коэффициентом кавернозности 1,25-1,30 и запасом 10%. Подлежат уточнению после кавернометрии и утверждения плана работ по креплению.</t>
        </is>
      </c>
    </row>
    <row r="28">
      <c r="B28" s="5" t="inlineStr">
        <is>
          <t>Труба обсадная ОК-168</t>
        </is>
      </c>
      <c r="C28" s="6" t="inlineStr">
        <is>
          <t>В перечне заявлена тех.оснастка ОК-168 и разъединительный переводник 245/168, но сама труба ОК-168 не заявлена. Принято, что хвостовик 168 мм обеспечивается из давальческих запасов Заказчика. Требует подтверждения — при закупке добавить позицию в номенклатуру (блок 3 листа «Справочник»).</t>
        </is>
      </c>
    </row>
    <row r="29">
      <c r="B29" s="5" t="inlineStr">
        <is>
          <t>Замедлитель</t>
        </is>
      </c>
      <c r="C29" s="6" t="inlineStr">
        <is>
          <t>Закупается единой партией на все этапы крепления скважины, дата потребности привязана к самой ранней операции (крепление направления).</t>
        </is>
      </c>
    </row>
    <row r="31">
      <c r="B31" s="3" t="inlineStr">
        <is>
          <t>КРИТИЧЕСКИЕ ПОЗИЦИИ</t>
        </is>
      </c>
      <c r="C31" s="4" t="n"/>
    </row>
    <row r="32">
      <c r="B32" s="5" t="inlineStr">
        <is>
          <t>Что требует решения сейчас</t>
        </is>
      </c>
      <c r="C32" s="6" t="inlineStr">
        <is>
          <t>По скважине ЮГ-1 позиции с длинным циклом изготовления (трубы ОК-426 и ОК-324, тех.оснастка ОК-426) имеют отрицательный запас: крайний срок размещения заказа уже прошел относительно даты формирования графика. Компенсирующие мероприятия указаны в столбце «Примечание / мероприятия» на листе скважины и в сводном графике.</t>
        </is>
      </c>
    </row>
  </sheetData>
  <mergeCells count="7">
    <mergeCell ref="B2:C2"/>
    <mergeCell ref="B11:C11"/>
    <mergeCell ref="B3:C3"/>
    <mergeCell ref="B5:C5"/>
    <mergeCell ref="B23:C23"/>
    <mergeCell ref="B31:C31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60" customWidth="1" min="10" max="10"/>
  </cols>
  <sheetData>
    <row r="1">
      <c r="A1" s="1" t="inlineStr">
        <is>
          <t>СПРАВОЧНИК ИСХОДНЫХ ДАННЫХ</t>
        </is>
      </c>
    </row>
    <row r="2">
      <c r="A2" s="2" t="inlineStr">
        <is>
          <t>Единственное место ввода. Все графики по скважинам и сводный график пересчитываются формулами от этого листа.</t>
        </is>
      </c>
    </row>
    <row r="4">
      <c r="A4" s="3" t="inlineStr">
        <is>
          <t>1. ДЛИТЕЛЬНОСТЬ ЭТАПОВ ЗАКУПКИ И ДОСТАВКИ ПО КАТЕГОРИЯМ МТР, суток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 ht="58" customHeight="1">
      <c r="A5" s="10" t="inlineStr">
        <is>
          <t>№</t>
        </is>
      </c>
      <c r="B5" s="10" t="inlineStr">
        <is>
          <t>Наименование этапа</t>
        </is>
      </c>
      <c r="C5" s="10" t="inlineStr">
        <is>
          <t>Тампонажные материалы (цементы, смеси)</t>
        </is>
      </c>
      <c r="D5" s="10" t="inlineStr">
        <is>
          <t>Химреагенты (замедлитель)</t>
        </is>
      </c>
      <c r="E5" s="10" t="inlineStr">
        <is>
          <t>Трубы обсадные</t>
        </is>
      </c>
      <c r="F5" s="10" t="inlineStr">
        <is>
          <t>Технологическая оснастка</t>
        </is>
      </c>
      <c r="G5" s="10" t="inlineStr">
        <is>
          <t>Спецоборудование (пакер, переводник)</t>
        </is>
      </c>
    </row>
    <row r="6" ht="26" customHeight="1">
      <c r="A6" s="11" t="n">
        <v>1</v>
      </c>
      <c r="B6" s="12" t="inlineStr">
        <is>
          <t>Размещение заказа, заключение договора, согласование спецификации</t>
        </is>
      </c>
      <c r="C6" s="13" t="n">
        <v>10</v>
      </c>
      <c r="D6" s="13" t="n">
        <v>10</v>
      </c>
      <c r="E6" s="13" t="n">
        <v>14</v>
      </c>
      <c r="F6" s="13" t="n">
        <v>10</v>
      </c>
      <c r="G6" s="13" t="n">
        <v>14</v>
      </c>
    </row>
    <row r="7" ht="26" customHeight="1">
      <c r="A7" s="11" t="n">
        <v>2</v>
      </c>
      <c r="B7" s="12" t="inlineStr">
        <is>
          <t>Изготовление на заводе-изготовителе (для тампонажных материалов — приготовление и замес смеси)</t>
        </is>
      </c>
      <c r="C7" s="13" t="n">
        <v>3</v>
      </c>
      <c r="D7" s="13" t="n">
        <v>5</v>
      </c>
      <c r="E7" s="13" t="n">
        <v>35</v>
      </c>
      <c r="F7" s="13" t="n">
        <v>25</v>
      </c>
      <c r="G7" s="13" t="n">
        <v>60</v>
      </c>
    </row>
    <row r="8" ht="26" customHeight="1">
      <c r="A8" s="11" t="n">
        <v>3</v>
      </c>
      <c r="B8" s="12" t="inlineStr">
        <is>
          <t>Подготовка к отгрузке: растаривание/затарка в МКР, пакетирование, маркировка</t>
        </is>
      </c>
      <c r="C8" s="13" t="n">
        <v>2</v>
      </c>
      <c r="D8" s="13" t="n">
        <v>1</v>
      </c>
      <c r="E8" s="13" t="n">
        <v>2</v>
      </c>
      <c r="F8" s="13" t="n">
        <v>2</v>
      </c>
      <c r="G8" s="13" t="n">
        <v>2</v>
      </c>
    </row>
    <row r="9" ht="26" customHeight="1">
      <c r="A9" s="11" t="n">
        <v>4</v>
      </c>
      <c r="B9" s="12" t="inlineStr">
        <is>
          <t>Перевозка на контейнерный терминал, затарка в контейнеры, погрузка на ж/д</t>
        </is>
      </c>
      <c r="C9" s="13" t="n">
        <v>2</v>
      </c>
      <c r="D9" s="13" t="n">
        <v>1</v>
      </c>
      <c r="E9" s="13" t="n">
        <v>3</v>
      </c>
      <c r="F9" s="13" t="n">
        <v>2</v>
      </c>
      <c r="G9" s="13" t="n">
        <v>2</v>
      </c>
    </row>
    <row r="10" ht="26" customHeight="1">
      <c r="A10" s="11" t="n">
        <v>5</v>
      </c>
      <c r="B10" s="12" t="inlineStr">
        <is>
          <t>Перевозка ж/д транспортом (завод-изготовитель — ст. Владивосток)</t>
        </is>
      </c>
      <c r="C10" s="13" t="n">
        <v>14</v>
      </c>
      <c r="D10" s="13" t="n">
        <v>14</v>
      </c>
      <c r="E10" s="13" t="n">
        <v>18</v>
      </c>
      <c r="F10" s="13" t="n">
        <v>16</v>
      </c>
      <c r="G10" s="13" t="n">
        <v>16</v>
      </c>
    </row>
    <row r="11" ht="26" customHeight="1">
      <c r="A11" s="11" t="n">
        <v>6</v>
      </c>
      <c r="B11" s="12" t="inlineStr">
        <is>
          <t>Перевалка во Владивостоке на морское судно</t>
        </is>
      </c>
      <c r="C11" s="13" t="n">
        <v>2</v>
      </c>
      <c r="D11" s="13" t="n">
        <v>2</v>
      </c>
      <c r="E11" s="13" t="n">
        <v>3</v>
      </c>
      <c r="F11" s="13" t="n">
        <v>2</v>
      </c>
      <c r="G11" s="13" t="n">
        <v>2</v>
      </c>
    </row>
    <row r="12" ht="26" customHeight="1">
      <c r="A12" s="11" t="n">
        <v>7</v>
      </c>
      <c r="B12" s="12" t="inlineStr">
        <is>
          <t>Морской переход Владивосток — Петропавловск-Камчатский</t>
        </is>
      </c>
      <c r="C12" s="13" t="n">
        <v>7</v>
      </c>
      <c r="D12" s="13" t="n">
        <v>7</v>
      </c>
      <c r="E12" s="13" t="n">
        <v>7</v>
      </c>
      <c r="F12" s="13" t="n">
        <v>7</v>
      </c>
      <c r="G12" s="13" t="n">
        <v>7</v>
      </c>
    </row>
    <row r="13" ht="26" customHeight="1">
      <c r="A13" s="11" t="n">
        <v>8</v>
      </c>
      <c r="B13" s="12" t="inlineStr">
        <is>
          <t>Доставка с базы Заказчика в г. Петропавловск-Камчатский до скважины</t>
        </is>
      </c>
      <c r="C13" s="13" t="n">
        <v>4</v>
      </c>
      <c r="D13" s="13" t="n">
        <v>4</v>
      </c>
      <c r="E13" s="13" t="n">
        <v>5</v>
      </c>
      <c r="F13" s="13" t="n">
        <v>4</v>
      </c>
      <c r="G13" s="13" t="n">
        <v>4</v>
      </c>
    </row>
    <row r="14">
      <c r="A14" s="14" t="n"/>
      <c r="B14" s="15" t="inlineStr">
        <is>
          <t>ИТОГО длительность цикла, суток</t>
        </is>
      </c>
      <c r="C14" s="14">
        <f>SUM(C6:C13)</f>
        <v/>
      </c>
      <c r="D14" s="14">
        <f>SUM(D6:D13)</f>
        <v/>
      </c>
      <c r="E14" s="14">
        <f>SUM(E6:E13)</f>
        <v/>
      </c>
      <c r="F14" s="14">
        <f>SUM(F6:F13)</f>
        <v/>
      </c>
      <c r="G14" s="14">
        <f>SUM(G6:G13)</f>
        <v/>
      </c>
    </row>
    <row r="16">
      <c r="A16" s="3" t="inlineStr">
        <is>
          <t>2. ПРОГРАММА КРЕПЛЕНИЯ СКВАЖИН И ДАТЫ ПОТРЕБНОСТИ МТР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44" customHeight="1">
      <c r="A17" s="10" t="inlineStr">
        <is>
          <t>№</t>
        </is>
      </c>
      <c r="B17" s="10" t="inlineStr">
        <is>
          <t>Скважина / этап крепления</t>
        </is>
      </c>
      <c r="C17" s="10" t="inlineStr">
        <is>
          <t>Дата операции по ГТН</t>
        </is>
      </c>
      <c r="D17" s="10" t="inlineStr">
        <is>
          <t>Заблаговр., сут</t>
        </is>
      </c>
      <c r="E17" s="10" t="inlineStr">
        <is>
          <t>ДАТА ПОТРЕБНОСТИ (МТР на скважине)</t>
        </is>
      </c>
    </row>
    <row r="18">
      <c r="A18" s="11" t="n">
        <v>1</v>
      </c>
      <c r="B18" s="16" t="inlineStr">
        <is>
          <t>ЮГ-1 — Направление ОК-426</t>
        </is>
      </c>
      <c r="C18" s="17" t="n">
        <v>46346</v>
      </c>
      <c r="D18" s="13" t="n">
        <v>5</v>
      </c>
      <c r="E18" s="18">
        <f>C18-D18</f>
        <v/>
      </c>
    </row>
    <row r="19">
      <c r="A19" s="11" t="n">
        <v>2</v>
      </c>
      <c r="B19" s="16" t="inlineStr">
        <is>
          <t>ЮГ-1 — Кондуктор ОК-324</t>
        </is>
      </c>
      <c r="C19" s="17" t="n">
        <v>46361</v>
      </c>
      <c r="D19" s="13" t="n">
        <v>5</v>
      </c>
      <c r="E19" s="18">
        <f>C19-D19</f>
        <v/>
      </c>
    </row>
    <row r="20">
      <c r="A20" s="11" t="n">
        <v>3</v>
      </c>
      <c r="B20" s="16" t="inlineStr">
        <is>
          <t>ЮГ-1 — Экспл. колонна ОК-245</t>
        </is>
      </c>
      <c r="C20" s="17" t="n">
        <v>46392</v>
      </c>
      <c r="D20" s="13" t="n">
        <v>5</v>
      </c>
      <c r="E20" s="18">
        <f>C20-D20</f>
        <v/>
      </c>
    </row>
    <row r="21">
      <c r="A21" s="19" t="n">
        <v>4</v>
      </c>
      <c r="B21" s="20" t="inlineStr">
        <is>
          <t>ЮГ-1 — Хвостовик ОК-168</t>
        </is>
      </c>
      <c r="C21" s="21" t="n">
        <v>46407</v>
      </c>
      <c r="D21" s="22" t="n">
        <v>5</v>
      </c>
      <c r="E21" s="23">
        <f>C21-D21</f>
        <v/>
      </c>
    </row>
    <row r="22">
      <c r="A22" s="11" t="n">
        <v>5</v>
      </c>
      <c r="B22" s="16" t="inlineStr">
        <is>
          <t>ЮГ-2 — Направление ОК-426</t>
        </is>
      </c>
      <c r="C22" s="17" t="n">
        <v>46406</v>
      </c>
      <c r="D22" s="13" t="n">
        <v>5</v>
      </c>
      <c r="E22" s="18">
        <f>C22-D22</f>
        <v/>
      </c>
    </row>
    <row r="23">
      <c r="A23" s="11" t="n">
        <v>6</v>
      </c>
      <c r="B23" s="16" t="inlineStr">
        <is>
          <t>ЮГ-2 — Кондуктор ОК-324</t>
        </is>
      </c>
      <c r="C23" s="17" t="n">
        <v>46421</v>
      </c>
      <c r="D23" s="13" t="n">
        <v>5</v>
      </c>
      <c r="E23" s="18">
        <f>C23-D23</f>
        <v/>
      </c>
    </row>
    <row r="24">
      <c r="A24" s="11" t="n">
        <v>7</v>
      </c>
      <c r="B24" s="16" t="inlineStr">
        <is>
          <t>ЮГ-2 — Экспл. колонна ОК-245</t>
        </is>
      </c>
      <c r="C24" s="17" t="n">
        <v>46452</v>
      </c>
      <c r="D24" s="13" t="n">
        <v>5</v>
      </c>
      <c r="E24" s="18">
        <f>C24-D24</f>
        <v/>
      </c>
    </row>
    <row r="25">
      <c r="A25" s="19" t="n">
        <v>8</v>
      </c>
      <c r="B25" s="20" t="inlineStr">
        <is>
          <t>ЮГ-2 — Хвостовик ОК-168</t>
        </is>
      </c>
      <c r="C25" s="21" t="n">
        <v>46467</v>
      </c>
      <c r="D25" s="22" t="n">
        <v>5</v>
      </c>
      <c r="E25" s="23">
        <f>C25-D25</f>
        <v/>
      </c>
    </row>
    <row r="26">
      <c r="A26" s="11" t="n">
        <v>9</v>
      </c>
      <c r="B26" s="16" t="inlineStr">
        <is>
          <t>ЮГ-3 — Направление ОК-426</t>
        </is>
      </c>
      <c r="C26" s="17" t="n">
        <v>46466</v>
      </c>
      <c r="D26" s="13" t="n">
        <v>5</v>
      </c>
      <c r="E26" s="18">
        <f>C26-D26</f>
        <v/>
      </c>
    </row>
    <row r="27">
      <c r="A27" s="11" t="n">
        <v>10</v>
      </c>
      <c r="B27" s="16" t="inlineStr">
        <is>
          <t>ЮГ-3 — Кондуктор ОК-324</t>
        </is>
      </c>
      <c r="C27" s="17" t="n">
        <v>46481</v>
      </c>
      <c r="D27" s="13" t="n">
        <v>5</v>
      </c>
      <c r="E27" s="18">
        <f>C27-D27</f>
        <v/>
      </c>
    </row>
    <row r="28">
      <c r="A28" s="11" t="n">
        <v>11</v>
      </c>
      <c r="B28" s="16" t="inlineStr">
        <is>
          <t>ЮГ-3 — Экспл. колонна ОК-245</t>
        </is>
      </c>
      <c r="C28" s="17" t="n">
        <v>46512</v>
      </c>
      <c r="D28" s="13" t="n">
        <v>5</v>
      </c>
      <c r="E28" s="18">
        <f>C28-D28</f>
        <v/>
      </c>
    </row>
    <row r="29">
      <c r="A29" s="19" t="n">
        <v>12</v>
      </c>
      <c r="B29" s="20" t="inlineStr">
        <is>
          <t>ЮГ-3 — Хвостовик ОК-168</t>
        </is>
      </c>
      <c r="C29" s="21" t="n">
        <v>46527</v>
      </c>
      <c r="D29" s="22" t="n">
        <v>5</v>
      </c>
      <c r="E29" s="23">
        <f>C29-D29</f>
        <v/>
      </c>
    </row>
    <row r="31">
      <c r="A31" s="3" t="inlineStr">
        <is>
          <t>3. НОМЕНКЛАТУРА И ОБЪЕМЫ ЗАКУПКИ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34" customHeight="1">
      <c r="A32" s="10" t="inlineStr">
        <is>
          <t>№</t>
        </is>
      </c>
      <c r="B32" s="10" t="inlineStr">
        <is>
          <t>Наименование МТР</t>
        </is>
      </c>
      <c r="C32" s="10" t="inlineStr">
        <is>
          <t>Ед. изм.</t>
        </is>
      </c>
      <c r="D32" s="10" t="inlineStr">
        <is>
          <t>Категория поставки</t>
        </is>
      </c>
      <c r="E32" s="10" t="inlineStr">
        <is>
          <t>Этап крепления</t>
        </is>
      </c>
      <c r="F32" s="10" t="inlineStr">
        <is>
          <t>ЮГ-1</t>
        </is>
      </c>
      <c r="G32" s="10" t="inlineStr">
        <is>
          <t>ЮГ-2</t>
        </is>
      </c>
      <c r="H32" s="10" t="inlineStr">
        <is>
          <t>ЮГ-3</t>
        </is>
      </c>
      <c r="I32" s="10" t="inlineStr">
        <is>
          <t>ИТОГО</t>
        </is>
      </c>
      <c r="J32" s="10" t="inlineStr">
        <is>
          <t>Обоснование объема / характеристика</t>
        </is>
      </c>
    </row>
    <row r="33" ht="32" customHeight="1">
      <c r="A33" s="11" t="n">
        <v>1</v>
      </c>
      <c r="B33" s="16" t="inlineStr">
        <is>
          <t>Цемент марки G (направление)</t>
        </is>
      </c>
      <c r="C33" s="11" t="inlineStr">
        <is>
          <t>т</t>
        </is>
      </c>
      <c r="D33" s="12" t="inlineStr">
        <is>
          <t>Тампонажные материалы (цементы, смеси)</t>
        </is>
      </c>
      <c r="E33" s="12" t="inlineStr">
        <is>
          <t>Направление ОК-426</t>
        </is>
      </c>
      <c r="F33" s="13" t="n">
        <v>15</v>
      </c>
      <c r="G33" s="13" t="n">
        <v>15</v>
      </c>
      <c r="H33" s="13" t="n">
        <v>15</v>
      </c>
      <c r="I33" s="14">
        <f>SUM(F33:H33)</f>
        <v/>
      </c>
      <c r="J33" s="24" t="inlineStr">
        <is>
          <t>ПЦТ G HSR. Расчет: кольцевое пространство 590/426 мм, 0-50 м + стакан, к-т каверн. 1,3, запас 10%</t>
        </is>
      </c>
    </row>
    <row r="34" ht="32" customHeight="1">
      <c r="A34" s="11" t="n">
        <v>2</v>
      </c>
      <c r="B34" s="16" t="inlineStr">
        <is>
          <t>Цементная смесь тяжелая (кондуктор)</t>
        </is>
      </c>
      <c r="C34" s="11" t="inlineStr">
        <is>
          <t>т</t>
        </is>
      </c>
      <c r="D34" s="12" t="inlineStr">
        <is>
          <t>Тампонажные материалы (цементы, смеси)</t>
        </is>
      </c>
      <c r="E34" s="12" t="inlineStr">
        <is>
          <t>Кондуктор ОК-324</t>
        </is>
      </c>
      <c r="F34" s="13" t="n">
        <v>50</v>
      </c>
      <c r="G34" s="13" t="n">
        <v>50</v>
      </c>
      <c r="H34" s="13" t="n">
        <v>50</v>
      </c>
      <c r="I34" s="14">
        <f>SUM(F34:H34)</f>
        <v/>
      </c>
      <c r="J34" s="24" t="inlineStr">
        <is>
          <t>ρ=1,85 г/см3. Кольцевое пространство 393,7/324 мм, 0-500 м, к-т каверн. 1,3, запас 10%</t>
        </is>
      </c>
    </row>
    <row r="35" ht="32" customHeight="1">
      <c r="A35" s="11" t="n">
        <v>3</v>
      </c>
      <c r="B35" s="16" t="inlineStr">
        <is>
          <t>Цементная смесь тяжелая (экспл.колонна)</t>
        </is>
      </c>
      <c r="C35" s="11" t="inlineStr">
        <is>
          <t>т</t>
        </is>
      </c>
      <c r="D35" s="12" t="inlineStr">
        <is>
          <t>Тампонажные материалы (цементы, смеси)</t>
        </is>
      </c>
      <c r="E35" s="12" t="inlineStr">
        <is>
          <t>Экспл. колонна ОК-245</t>
        </is>
      </c>
      <c r="F35" s="13" t="n">
        <v>32</v>
      </c>
      <c r="G35" s="13" t="n">
        <v>32</v>
      </c>
      <c r="H35" s="13" t="n">
        <v>32</v>
      </c>
      <c r="I35" s="14">
        <f>SUM(F35:H35)</f>
        <v/>
      </c>
      <c r="J35" s="24" t="inlineStr">
        <is>
          <t>ρ=1,85 г/см3. Нижняя ступень 1200-1800 м, кольц. пр-во 295,3/245 мм, к-т каверн. 1,25</t>
        </is>
      </c>
    </row>
    <row r="36" ht="32" customHeight="1">
      <c r="A36" s="11" t="n">
        <v>4</v>
      </c>
      <c r="B36" s="16" t="inlineStr">
        <is>
          <t>Цементная смесь легкая (экспл.колонна)</t>
        </is>
      </c>
      <c r="C36" s="11" t="inlineStr">
        <is>
          <t>т</t>
        </is>
      </c>
      <c r="D36" s="12" t="inlineStr">
        <is>
          <t>Тампонажные материалы (цементы, смеси)</t>
        </is>
      </c>
      <c r="E36" s="12" t="inlineStr">
        <is>
          <t>Экспл. колонна ОК-245</t>
        </is>
      </c>
      <c r="F36" s="13" t="n">
        <v>45</v>
      </c>
      <c r="G36" s="13" t="n">
        <v>45</v>
      </c>
      <c r="H36" s="13" t="n">
        <v>45</v>
      </c>
      <c r="I36" s="14">
        <f>SUM(F36:H36)</f>
        <v/>
      </c>
      <c r="J36" s="24" t="inlineStr">
        <is>
          <t>ρ=1,50 г/см3. Верхняя ступень 0-1200 м, кольц. пр-во 295,3/245 мм, к-т каверн. 1,25</t>
        </is>
      </c>
    </row>
    <row r="37" ht="32" customHeight="1">
      <c r="A37" s="11" t="n">
        <v>5</v>
      </c>
      <c r="B37" s="16" t="inlineStr">
        <is>
          <t>Замедлитель</t>
        </is>
      </c>
      <c r="C37" s="11" t="inlineStr">
        <is>
          <t>кг</t>
        </is>
      </c>
      <c r="D37" s="12" t="inlineStr">
        <is>
          <t>Химреагенты (замедлитель)</t>
        </is>
      </c>
      <c r="E37" s="12" t="inlineStr">
        <is>
          <t>Направление ОК-426</t>
        </is>
      </c>
      <c r="F37" s="13" t="n">
        <v>600</v>
      </c>
      <c r="G37" s="13" t="n">
        <v>600</v>
      </c>
      <c r="H37" s="13" t="n">
        <v>600</v>
      </c>
      <c r="I37" s="14">
        <f>SUM(F37:H37)</f>
        <v/>
      </c>
      <c r="J37" s="24" t="inlineStr">
        <is>
          <t>Термостойкий замедлитель схватывания, 0,4% от массы цемента (142 т). Поставка единой партией под все этапы крепления</t>
        </is>
      </c>
    </row>
    <row r="38" ht="32" customHeight="1">
      <c r="A38" s="11" t="n">
        <v>6</v>
      </c>
      <c r="B38" s="16" t="inlineStr">
        <is>
          <t>Труба обсадная ОК-426</t>
        </is>
      </c>
      <c r="C38" s="11" t="inlineStr">
        <is>
          <t>м</t>
        </is>
      </c>
      <c r="D38" s="12" t="inlineStr">
        <is>
          <t>Трубы обсадные</t>
        </is>
      </c>
      <c r="E38" s="12" t="inlineStr">
        <is>
          <t>Направление ОК-426</t>
        </is>
      </c>
      <c r="F38" s="13" t="n">
        <v>60</v>
      </c>
      <c r="G38" s="13" t="n">
        <v>60</v>
      </c>
      <c r="H38" s="13" t="n">
        <v>60</v>
      </c>
      <c r="I38" s="14">
        <f>SUM(F38:H38)</f>
        <v/>
      </c>
      <c r="J38" s="24" t="inlineStr">
        <is>
          <t>426х10 мм, гр.пр. Д, резьба ОТТМ. Глубина спуска 50 м + технологический запас</t>
        </is>
      </c>
    </row>
    <row r="39" ht="32" customHeight="1">
      <c r="A39" s="11" t="n">
        <v>7</v>
      </c>
      <c r="B39" s="16" t="inlineStr">
        <is>
          <t>Труба обсадная ОК-324</t>
        </is>
      </c>
      <c r="C39" s="11" t="inlineStr">
        <is>
          <t>м</t>
        </is>
      </c>
      <c r="D39" s="12" t="inlineStr">
        <is>
          <t>Трубы обсадные</t>
        </is>
      </c>
      <c r="E39" s="12" t="inlineStr">
        <is>
          <t>Кондуктор ОК-324</t>
        </is>
      </c>
      <c r="F39" s="13" t="n">
        <v>520</v>
      </c>
      <c r="G39" s="13" t="n">
        <v>520</v>
      </c>
      <c r="H39" s="13" t="n">
        <v>520</v>
      </c>
      <c r="I39" s="14">
        <f>SUM(F39:H39)</f>
        <v/>
      </c>
      <c r="J39" s="24" t="inlineStr">
        <is>
          <t>324х9,5 мм, гр.пр. Д, резьба ОТТМ. Глубина спуска 500 м + технологический запас</t>
        </is>
      </c>
    </row>
    <row r="40" ht="32" customHeight="1">
      <c r="A40" s="11" t="n">
        <v>8</v>
      </c>
      <c r="B40" s="16" t="inlineStr">
        <is>
          <t>Труба обсадная ОК-245</t>
        </is>
      </c>
      <c r="C40" s="11" t="inlineStr">
        <is>
          <t>м</t>
        </is>
      </c>
      <c r="D40" s="12" t="inlineStr">
        <is>
          <t>Трубы обсадные</t>
        </is>
      </c>
      <c r="E40" s="12" t="inlineStr">
        <is>
          <t>Экспл. колонна ОК-245</t>
        </is>
      </c>
      <c r="F40" s="13" t="n">
        <v>1830</v>
      </c>
      <c r="G40" s="13" t="n">
        <v>1830</v>
      </c>
      <c r="H40" s="13" t="n">
        <v>1830</v>
      </c>
      <c r="I40" s="14">
        <f>SUM(F40:H40)</f>
        <v/>
      </c>
      <c r="J40" s="24" t="inlineStr">
        <is>
          <t>245х10 мм, гр.пр. Е, резьба ОТТГ. Глубина спуска 1800 м + технологический запас</t>
        </is>
      </c>
    </row>
    <row r="41" ht="32" customHeight="1">
      <c r="A41" s="11" t="n">
        <v>9</v>
      </c>
      <c r="B41" s="16" t="inlineStr">
        <is>
          <t>Тех.оснастка (ОК-426)</t>
        </is>
      </c>
      <c r="C41" s="11" t="inlineStr">
        <is>
          <t>компл.</t>
        </is>
      </c>
      <c r="D41" s="12" t="inlineStr">
        <is>
          <t>Технологическая оснастка</t>
        </is>
      </c>
      <c r="E41" s="12" t="inlineStr">
        <is>
          <t>Направление ОК-426</t>
        </is>
      </c>
      <c r="F41" s="13" t="n">
        <v>1</v>
      </c>
      <c r="G41" s="13" t="n">
        <v>1</v>
      </c>
      <c r="H41" s="13" t="n">
        <v>1</v>
      </c>
      <c r="I41" s="14">
        <f>SUM(F41:H41)</f>
        <v/>
      </c>
      <c r="J41" s="24" t="inlineStr">
        <is>
          <t>Башмак БКМ-426, ЦКОД-426, центраторы ЦЦ-426/590 - 5 шт, пробка продавочная ПП-426</t>
        </is>
      </c>
    </row>
    <row r="42" ht="32" customHeight="1">
      <c r="A42" s="11" t="n">
        <v>10</v>
      </c>
      <c r="B42" s="16" t="inlineStr">
        <is>
          <t>Тех.оснастка (ОК-324)</t>
        </is>
      </c>
      <c r="C42" s="11" t="inlineStr">
        <is>
          <t>компл.</t>
        </is>
      </c>
      <c r="D42" s="12" t="inlineStr">
        <is>
          <t>Технологическая оснастка</t>
        </is>
      </c>
      <c r="E42" s="12" t="inlineStr">
        <is>
          <t>Кондуктор ОК-324</t>
        </is>
      </c>
      <c r="F42" s="13" t="n">
        <v>1</v>
      </c>
      <c r="G42" s="13" t="n">
        <v>1</v>
      </c>
      <c r="H42" s="13" t="n">
        <v>1</v>
      </c>
      <c r="I42" s="14">
        <f>SUM(F42:H42)</f>
        <v/>
      </c>
      <c r="J42" s="24" t="inlineStr">
        <is>
          <t>Башмак БКМ-324, ЦКОД-324, центраторы ЦЦ-324/394 - 25 шт, ЦТ, пробка продавочная ПП-324</t>
        </is>
      </c>
    </row>
    <row r="43" ht="32" customHeight="1">
      <c r="A43" s="11" t="n">
        <v>11</v>
      </c>
      <c r="B43" s="16" t="inlineStr">
        <is>
          <t>Тех.оснастка (ОК-245)</t>
        </is>
      </c>
      <c r="C43" s="11" t="inlineStr">
        <is>
          <t>компл.</t>
        </is>
      </c>
      <c r="D43" s="12" t="inlineStr">
        <is>
          <t>Технологическая оснастка</t>
        </is>
      </c>
      <c r="E43" s="12" t="inlineStr">
        <is>
          <t>Экспл. колонна ОК-245</t>
        </is>
      </c>
      <c r="F43" s="13" t="n">
        <v>1</v>
      </c>
      <c r="G43" s="13" t="n">
        <v>1</v>
      </c>
      <c r="H43" s="13" t="n">
        <v>1</v>
      </c>
      <c r="I43" s="14">
        <f>SUM(F43:H43)</f>
        <v/>
      </c>
      <c r="J43" s="24" t="inlineStr">
        <is>
          <t>Башмак БКМ-245, ЦКОД-245, МСЦ-245, центраторы ЦЦ-245/295 - 60 шт, пробки продавочные</t>
        </is>
      </c>
    </row>
    <row r="44" ht="32" customHeight="1">
      <c r="A44" s="11" t="n">
        <v>12</v>
      </c>
      <c r="B44" s="16" t="inlineStr">
        <is>
          <t>Тех.оснастка (ОК-168)</t>
        </is>
      </c>
      <c r="C44" s="11" t="inlineStr">
        <is>
          <t>компл.</t>
        </is>
      </c>
      <c r="D44" s="12" t="inlineStr">
        <is>
          <t>Технологическая оснастка</t>
        </is>
      </c>
      <c r="E44" s="12" t="inlineStr">
        <is>
          <t>Хвостовик ОК-168</t>
        </is>
      </c>
      <c r="F44" s="13" t="n">
        <v>1</v>
      </c>
      <c r="G44" s="13" t="n">
        <v>1</v>
      </c>
      <c r="H44" s="13" t="n">
        <v>1</v>
      </c>
      <c r="I44" s="14">
        <f>SUM(F44:H44)</f>
        <v/>
      </c>
      <c r="J44" s="24" t="inlineStr">
        <is>
          <t>Башмак БКМ-168, ЦКОДМ-168, центраторы ЦЦ-168/216 - 30 шт, подвеска хвостовика</t>
        </is>
      </c>
    </row>
    <row r="45" ht="32" customHeight="1">
      <c r="A45" s="11" t="n">
        <v>13</v>
      </c>
      <c r="B45" s="16" t="inlineStr">
        <is>
          <t>Пакер набухающий термостойкий</t>
        </is>
      </c>
      <c r="C45" s="11" t="inlineStr">
        <is>
          <t>шт</t>
        </is>
      </c>
      <c r="D45" s="12" t="inlineStr">
        <is>
          <t>Спецоборудование (пакер, переводник)</t>
        </is>
      </c>
      <c r="E45" s="12" t="inlineStr">
        <is>
          <t>Хвостовик ОК-168</t>
        </is>
      </c>
      <c r="F45" s="13" t="n">
        <v>2</v>
      </c>
      <c r="G45" s="13" t="n">
        <v>2</v>
      </c>
      <c r="H45" s="13" t="n">
        <v>2</v>
      </c>
      <c r="I45" s="14">
        <f>SUM(F45:H45)</f>
        <v/>
      </c>
      <c r="J45" s="24" t="inlineStr">
        <is>
          <t>Набухающий в углеводородной/водной среде, рабочая температура до 200 С. Изоляция интервала хвостовика</t>
        </is>
      </c>
    </row>
    <row r="46" ht="32" customHeight="1">
      <c r="A46" s="11" t="n">
        <v>14</v>
      </c>
      <c r="B46" s="16" t="inlineStr">
        <is>
          <t>Разъединительный переводник 245/168</t>
        </is>
      </c>
      <c r="C46" s="11" t="inlineStr">
        <is>
          <t>шт</t>
        </is>
      </c>
      <c r="D46" s="12" t="inlineStr">
        <is>
          <t>Спецоборудование (пакер, переводник)</t>
        </is>
      </c>
      <c r="E46" s="12" t="inlineStr">
        <is>
          <t>Хвостовик ОК-168</t>
        </is>
      </c>
      <c r="F46" s="13" t="n">
        <v>1</v>
      </c>
      <c r="G46" s="13" t="n">
        <v>1</v>
      </c>
      <c r="H46" s="13" t="n">
        <v>1</v>
      </c>
      <c r="I46" s="14">
        <f>SUM(F46:H46)</f>
        <v/>
      </c>
      <c r="J46" s="24" t="inlineStr">
        <is>
          <t>Разъединитель подвески хвостовика 245/168, термостойкое исполнение. Длит. цикл изготовления - спецзаказ</t>
        </is>
      </c>
    </row>
  </sheetData>
  <mergeCells count="3">
    <mergeCell ref="A4:J4"/>
    <mergeCell ref="A31:J31"/>
    <mergeCell ref="A16:J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 fitToPage="1"/>
  </sheetPr>
  <dimension ref="A1:N14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8" customWidth="1" min="2" max="2"/>
    <col width="9" customWidth="1" min="3" max="3"/>
    <col width="10" customWidth="1" min="4" max="4"/>
    <col width="9" customWidth="1" min="5" max="5"/>
    <col width="12" customWidth="1" min="6" max="6"/>
    <col width="12" customWidth="1" min="7" max="7"/>
    <col width="13" customWidth="1" min="8" max="8"/>
    <col width="13" customWidth="1" min="9" max="9"/>
    <col width="14" customWidth="1" min="10" max="10"/>
    <col width="13" customWidth="1" min="11" max="11"/>
    <col width="10" customWidth="1" min="12" max="12"/>
    <col width="15" customWidth="1" min="13" max="13"/>
    <col width="52" customWidth="1" min="14" max="14"/>
  </cols>
  <sheetData>
    <row r="1">
      <c r="A1" s="1" t="inlineStr">
        <is>
          <t>ГРАФИК ЗАКУПКИ И ДОСТАВКИ МТР ДЛЯ КРЕПЛЕНИЯ СКВАЖИНЫ ЮГ-1</t>
        </is>
      </c>
    </row>
    <row r="2">
      <c r="A2" s="2" t="inlineStr">
        <is>
          <t>Дата формирования 15.09.2026. Даты потребности и длительности этапов — с листа «Справочник». Желтые ячейки (столбец J) — ввод фактической даты размещения заказа. Группировка слева сворачивает этапы.</t>
        </is>
      </c>
    </row>
    <row r="4" ht="46" customHeight="1">
      <c r="A4" s="10" t="inlineStr">
        <is>
          <t>№</t>
        </is>
      </c>
      <c r="B4" s="10" t="inlineStr">
        <is>
          <t>Наименование МТР / этапа закупки и доставки</t>
        </is>
      </c>
      <c r="C4" s="10" t="inlineStr">
        <is>
          <t>Ед. изм.</t>
        </is>
      </c>
      <c r="D4" s="10" t="inlineStr">
        <is>
          <t>Кол-во</t>
        </is>
      </c>
      <c r="E4" s="10" t="inlineStr">
        <is>
          <t>Длит., сут</t>
        </is>
      </c>
      <c r="F4" s="10" t="inlineStr">
        <is>
          <t>Начало этапа</t>
        </is>
      </c>
      <c r="G4" s="10" t="inlineStr">
        <is>
          <t>Окончание этапа</t>
        </is>
      </c>
      <c r="H4" s="10" t="inlineStr">
        <is>
          <t>ДАТА ПОТРЕБНОСТИ</t>
        </is>
      </c>
      <c r="I4" s="10" t="inlineStr">
        <is>
          <t>Требуемая дата старта</t>
        </is>
      </c>
      <c r="J4" s="10" t="inlineStr">
        <is>
          <t>Дата начала (план/факт)</t>
        </is>
      </c>
      <c r="K4" s="10" t="inlineStr">
        <is>
          <t>Прогноз поставки на скважину</t>
        </is>
      </c>
      <c r="L4" s="10" t="inlineStr">
        <is>
          <t>Запас, сут</t>
        </is>
      </c>
      <c r="M4" s="10" t="inlineStr">
        <is>
          <t>СТАТУС</t>
        </is>
      </c>
      <c r="N4" s="10" t="inlineStr">
        <is>
          <t>Примечание / компенсирующие мероприятия</t>
        </is>
      </c>
    </row>
    <row r="5" ht="30" customHeight="1">
      <c r="A5" s="25" t="n">
        <v>1</v>
      </c>
      <c r="B5" s="26" t="inlineStr">
        <is>
          <t>Цемент марки G (направление)</t>
        </is>
      </c>
      <c r="C5" s="25">
        <f>Справочник!$C$33</f>
        <v/>
      </c>
      <c r="D5" s="25">
        <f>Справочник!$F$33</f>
        <v/>
      </c>
      <c r="E5" s="25">
        <f>SUM(E6:E13)</f>
        <v/>
      </c>
      <c r="F5" s="27" t="inlineStr">
        <is>
          <t>Этап крепления: Направление ОК-426</t>
        </is>
      </c>
      <c r="G5" s="25" t="n"/>
      <c r="H5" s="28">
        <f>Справочник!$E$18</f>
        <v/>
      </c>
      <c r="I5" s="28">
        <f>H5-E5</f>
        <v/>
      </c>
      <c r="J5" s="29" t="n">
        <v>46285</v>
      </c>
      <c r="K5" s="28">
        <f>G13</f>
        <v/>
      </c>
      <c r="L5" s="25">
        <f>H5-K5</f>
        <v/>
      </c>
      <c r="M5" s="25">
        <f>IF(L5&lt;0,"СРЫВ ГРАФИКА",IF(L5&lt;14,"РИСК","В ГРАФИКЕ"))</f>
        <v/>
      </c>
      <c r="N5" s="30" t="inlineStr">
        <is>
          <t>Запас 12 сут — ниже норматива 14 сут. Заказ разместить первым приоритетом, взять на еженедельный контроль.</t>
        </is>
      </c>
    </row>
    <row r="6" outlineLevel="1" ht="24" customHeight="1">
      <c r="A6" s="31" t="n">
        <v>1</v>
      </c>
      <c r="B6" s="32">
        <f>Справочник!$B$6</f>
        <v/>
      </c>
      <c r="C6" s="31" t="n"/>
      <c r="D6" s="31" t="n"/>
      <c r="E6" s="31">
        <f>Справочник!$C$6</f>
        <v/>
      </c>
      <c r="F6" s="33">
        <f>J5</f>
        <v/>
      </c>
      <c r="G6" s="33">
        <f>F6+E6</f>
        <v/>
      </c>
      <c r="H6" s="31" t="n"/>
      <c r="I6" s="31" t="n"/>
      <c r="J6" s="31" t="n"/>
      <c r="K6" s="31" t="n"/>
      <c r="L6" s="31" t="n"/>
      <c r="M6" s="31" t="n"/>
      <c r="N6" s="31" t="n"/>
    </row>
    <row r="7" outlineLevel="1" ht="24" customHeight="1">
      <c r="A7" s="11" t="n">
        <v>2</v>
      </c>
      <c r="B7" s="12">
        <f>Справочник!$B$7</f>
        <v/>
      </c>
      <c r="C7" s="11" t="n"/>
      <c r="D7" s="11" t="n"/>
      <c r="E7" s="11">
        <f>Справочник!$C$7</f>
        <v/>
      </c>
      <c r="F7" s="34">
        <f>G6</f>
        <v/>
      </c>
      <c r="G7" s="34">
        <f>F7+E7</f>
        <v/>
      </c>
      <c r="H7" s="11" t="n"/>
      <c r="I7" s="11" t="n"/>
      <c r="J7" s="11" t="n"/>
      <c r="K7" s="11" t="n"/>
      <c r="L7" s="11" t="n"/>
      <c r="M7" s="11" t="n"/>
      <c r="N7" s="11" t="n"/>
    </row>
    <row r="8" outlineLevel="1" ht="24" customHeight="1">
      <c r="A8" s="31" t="n">
        <v>3</v>
      </c>
      <c r="B8" s="32">
        <f>Справочник!$B$8</f>
        <v/>
      </c>
      <c r="C8" s="31" t="n"/>
      <c r="D8" s="31" t="n"/>
      <c r="E8" s="31">
        <f>Справочник!$C$8</f>
        <v/>
      </c>
      <c r="F8" s="33">
        <f>G7</f>
        <v/>
      </c>
      <c r="G8" s="33">
        <f>F8+E8</f>
        <v/>
      </c>
      <c r="H8" s="31" t="n"/>
      <c r="I8" s="31" t="n"/>
      <c r="J8" s="31" t="n"/>
      <c r="K8" s="31" t="n"/>
      <c r="L8" s="31" t="n"/>
      <c r="M8" s="31" t="n"/>
      <c r="N8" s="31" t="n"/>
    </row>
    <row r="9" outlineLevel="1" ht="24" customHeight="1">
      <c r="A9" s="11" t="n">
        <v>4</v>
      </c>
      <c r="B9" s="12">
        <f>Справочник!$B$9</f>
        <v/>
      </c>
      <c r="C9" s="11" t="n"/>
      <c r="D9" s="11" t="n"/>
      <c r="E9" s="11">
        <f>Справочник!$C$9</f>
        <v/>
      </c>
      <c r="F9" s="34">
        <f>G8</f>
        <v/>
      </c>
      <c r="G9" s="34">
        <f>F9+E9</f>
        <v/>
      </c>
      <c r="H9" s="11" t="n"/>
      <c r="I9" s="11" t="n"/>
      <c r="J9" s="11" t="n"/>
      <c r="K9" s="11" t="n"/>
      <c r="L9" s="11" t="n"/>
      <c r="M9" s="11" t="n"/>
      <c r="N9" s="11" t="n"/>
    </row>
    <row r="10" outlineLevel="1" ht="24" customHeight="1">
      <c r="A10" s="31" t="n">
        <v>5</v>
      </c>
      <c r="B10" s="32">
        <f>Справочник!$B$10</f>
        <v/>
      </c>
      <c r="C10" s="31" t="n"/>
      <c r="D10" s="31" t="n"/>
      <c r="E10" s="31">
        <f>Справочник!$C$10</f>
        <v/>
      </c>
      <c r="F10" s="33">
        <f>G9</f>
        <v/>
      </c>
      <c r="G10" s="33">
        <f>F10+E10</f>
        <v/>
      </c>
      <c r="H10" s="31" t="n"/>
      <c r="I10" s="31" t="n"/>
      <c r="J10" s="31" t="n"/>
      <c r="K10" s="31" t="n"/>
      <c r="L10" s="31" t="n"/>
      <c r="M10" s="31" t="n"/>
      <c r="N10" s="31" t="n"/>
    </row>
    <row r="11" outlineLevel="1" ht="24" customHeight="1">
      <c r="A11" s="11" t="n">
        <v>6</v>
      </c>
      <c r="B11" s="12">
        <f>Справочник!$B$11</f>
        <v/>
      </c>
      <c r="C11" s="11" t="n"/>
      <c r="D11" s="11" t="n"/>
      <c r="E11" s="11">
        <f>Справочник!$C$11</f>
        <v/>
      </c>
      <c r="F11" s="34">
        <f>G10</f>
        <v/>
      </c>
      <c r="G11" s="34">
        <f>F11+E11</f>
        <v/>
      </c>
      <c r="H11" s="11" t="n"/>
      <c r="I11" s="11" t="n"/>
      <c r="J11" s="11" t="n"/>
      <c r="K11" s="11" t="n"/>
      <c r="L11" s="11" t="n"/>
      <c r="M11" s="11" t="n"/>
      <c r="N11" s="11" t="n"/>
    </row>
    <row r="12" outlineLevel="1" ht="24" customHeight="1">
      <c r="A12" s="31" t="n">
        <v>7</v>
      </c>
      <c r="B12" s="32">
        <f>Справочник!$B$12</f>
        <v/>
      </c>
      <c r="C12" s="31" t="n"/>
      <c r="D12" s="31" t="n"/>
      <c r="E12" s="31">
        <f>Справочник!$C$12</f>
        <v/>
      </c>
      <c r="F12" s="33">
        <f>G11</f>
        <v/>
      </c>
      <c r="G12" s="33">
        <f>F12+E12</f>
        <v/>
      </c>
      <c r="H12" s="31" t="n"/>
      <c r="I12" s="31" t="n"/>
      <c r="J12" s="31" t="n"/>
      <c r="K12" s="31" t="n"/>
      <c r="L12" s="31" t="n"/>
      <c r="M12" s="31" t="n"/>
      <c r="N12" s="31" t="n"/>
    </row>
    <row r="13" outlineLevel="1" ht="24" customHeight="1">
      <c r="A13" s="11" t="n">
        <v>8</v>
      </c>
      <c r="B13" s="12">
        <f>Справочник!$B$13</f>
        <v/>
      </c>
      <c r="C13" s="11" t="n"/>
      <c r="D13" s="11" t="n"/>
      <c r="E13" s="11">
        <f>Справочник!$C$13</f>
        <v/>
      </c>
      <c r="F13" s="34">
        <f>G12</f>
        <v/>
      </c>
      <c r="G13" s="34">
        <f>F13+E13</f>
        <v/>
      </c>
      <c r="H13" s="11" t="n"/>
      <c r="I13" s="11" t="n"/>
      <c r="J13" s="11" t="n"/>
      <c r="K13" s="11" t="n"/>
      <c r="L13" s="11" t="n"/>
      <c r="M13" s="11" t="n"/>
      <c r="N13" s="11" t="n"/>
    </row>
    <row r="15" ht="30" customHeight="1">
      <c r="A15" s="25" t="n">
        <v>2</v>
      </c>
      <c r="B15" s="26" t="inlineStr">
        <is>
          <t>Цементная смесь тяжелая (кондуктор)</t>
        </is>
      </c>
      <c r="C15" s="25">
        <f>Справочник!$C$34</f>
        <v/>
      </c>
      <c r="D15" s="25">
        <f>Справочник!$F$34</f>
        <v/>
      </c>
      <c r="E15" s="25">
        <f>SUM(E16:E23)</f>
        <v/>
      </c>
      <c r="F15" s="27" t="inlineStr">
        <is>
          <t>Этап крепления: Кондуктор ОК-324</t>
        </is>
      </c>
      <c r="G15" s="25" t="n"/>
      <c r="H15" s="28">
        <f>Справочник!$E$19</f>
        <v/>
      </c>
      <c r="I15" s="28">
        <f>H15-E15</f>
        <v/>
      </c>
      <c r="J15" s="29" t="n">
        <v>46298</v>
      </c>
      <c r="K15" s="28">
        <f>G23</f>
        <v/>
      </c>
      <c r="L15" s="25">
        <f>H15-K15</f>
        <v/>
      </c>
      <c r="M15" s="25">
        <f>IF(L15&lt;0,"СРЫВ ГРАФИКА",IF(L15&lt;14,"РИСК","В ГРАФИКЕ"))</f>
        <v/>
      </c>
      <c r="N15" s="30" t="inlineStr"/>
    </row>
    <row r="16" outlineLevel="1" ht="24" customHeight="1">
      <c r="A16" s="31" t="n">
        <v>1</v>
      </c>
      <c r="B16" s="32">
        <f>Справочник!$B$6</f>
        <v/>
      </c>
      <c r="C16" s="31" t="n"/>
      <c r="D16" s="31" t="n"/>
      <c r="E16" s="31">
        <f>Справочник!$C$6</f>
        <v/>
      </c>
      <c r="F16" s="33">
        <f>J15</f>
        <v/>
      </c>
      <c r="G16" s="33">
        <f>F16+E16</f>
        <v/>
      </c>
      <c r="H16" s="31" t="n"/>
      <c r="I16" s="31" t="n"/>
      <c r="J16" s="31" t="n"/>
      <c r="K16" s="31" t="n"/>
      <c r="L16" s="31" t="n"/>
      <c r="M16" s="31" t="n"/>
      <c r="N16" s="31" t="n"/>
    </row>
    <row r="17" outlineLevel="1" ht="24" customHeight="1">
      <c r="A17" s="11" t="n">
        <v>2</v>
      </c>
      <c r="B17" s="12">
        <f>Справочник!$B$7</f>
        <v/>
      </c>
      <c r="C17" s="11" t="n"/>
      <c r="D17" s="11" t="n"/>
      <c r="E17" s="11">
        <f>Справочник!$C$7</f>
        <v/>
      </c>
      <c r="F17" s="34">
        <f>G16</f>
        <v/>
      </c>
      <c r="G17" s="34">
        <f>F17+E17</f>
        <v/>
      </c>
      <c r="H17" s="11" t="n"/>
      <c r="I17" s="11" t="n"/>
      <c r="J17" s="11" t="n"/>
      <c r="K17" s="11" t="n"/>
      <c r="L17" s="11" t="n"/>
      <c r="M17" s="11" t="n"/>
      <c r="N17" s="11" t="n"/>
    </row>
    <row r="18" outlineLevel="1" ht="24" customHeight="1">
      <c r="A18" s="31" t="n">
        <v>3</v>
      </c>
      <c r="B18" s="32">
        <f>Справочник!$B$8</f>
        <v/>
      </c>
      <c r="C18" s="31" t="n"/>
      <c r="D18" s="31" t="n"/>
      <c r="E18" s="31">
        <f>Справочник!$C$8</f>
        <v/>
      </c>
      <c r="F18" s="33">
        <f>G17</f>
        <v/>
      </c>
      <c r="G18" s="33">
        <f>F18+E18</f>
        <v/>
      </c>
      <c r="H18" s="31" t="n"/>
      <c r="I18" s="31" t="n"/>
      <c r="J18" s="31" t="n"/>
      <c r="K18" s="31" t="n"/>
      <c r="L18" s="31" t="n"/>
      <c r="M18" s="31" t="n"/>
      <c r="N18" s="31" t="n"/>
    </row>
    <row r="19" outlineLevel="1" ht="24" customHeight="1">
      <c r="A19" s="11" t="n">
        <v>4</v>
      </c>
      <c r="B19" s="12">
        <f>Справочник!$B$9</f>
        <v/>
      </c>
      <c r="C19" s="11" t="n"/>
      <c r="D19" s="11" t="n"/>
      <c r="E19" s="11">
        <f>Справочник!$C$9</f>
        <v/>
      </c>
      <c r="F19" s="34">
        <f>G18</f>
        <v/>
      </c>
      <c r="G19" s="34">
        <f>F19+E19</f>
        <v/>
      </c>
      <c r="H19" s="11" t="n"/>
      <c r="I19" s="11" t="n"/>
      <c r="J19" s="11" t="n"/>
      <c r="K19" s="11" t="n"/>
      <c r="L19" s="11" t="n"/>
      <c r="M19" s="11" t="n"/>
      <c r="N19" s="11" t="n"/>
    </row>
    <row r="20" outlineLevel="1" ht="24" customHeight="1">
      <c r="A20" s="31" t="n">
        <v>5</v>
      </c>
      <c r="B20" s="32">
        <f>Справочник!$B$10</f>
        <v/>
      </c>
      <c r="C20" s="31" t="n"/>
      <c r="D20" s="31" t="n"/>
      <c r="E20" s="31">
        <f>Справочник!$C$10</f>
        <v/>
      </c>
      <c r="F20" s="33">
        <f>G19</f>
        <v/>
      </c>
      <c r="G20" s="33">
        <f>F20+E20</f>
        <v/>
      </c>
      <c r="H20" s="31" t="n"/>
      <c r="I20" s="31" t="n"/>
      <c r="J20" s="31" t="n"/>
      <c r="K20" s="31" t="n"/>
      <c r="L20" s="31" t="n"/>
      <c r="M20" s="31" t="n"/>
      <c r="N20" s="31" t="n"/>
    </row>
    <row r="21" outlineLevel="1" ht="24" customHeight="1">
      <c r="A21" s="11" t="n">
        <v>6</v>
      </c>
      <c r="B21" s="12">
        <f>Справочник!$B$11</f>
        <v/>
      </c>
      <c r="C21" s="11" t="n"/>
      <c r="D21" s="11" t="n"/>
      <c r="E21" s="11">
        <f>Справочник!$C$11</f>
        <v/>
      </c>
      <c r="F21" s="34">
        <f>G20</f>
        <v/>
      </c>
      <c r="G21" s="34">
        <f>F21+E21</f>
        <v/>
      </c>
      <c r="H21" s="11" t="n"/>
      <c r="I21" s="11" t="n"/>
      <c r="J21" s="11" t="n"/>
      <c r="K21" s="11" t="n"/>
      <c r="L21" s="11" t="n"/>
      <c r="M21" s="11" t="n"/>
      <c r="N21" s="11" t="n"/>
    </row>
    <row r="22" outlineLevel="1" ht="24" customHeight="1">
      <c r="A22" s="31" t="n">
        <v>7</v>
      </c>
      <c r="B22" s="32">
        <f>Справочник!$B$12</f>
        <v/>
      </c>
      <c r="C22" s="31" t="n"/>
      <c r="D22" s="31" t="n"/>
      <c r="E22" s="31">
        <f>Справочник!$C$12</f>
        <v/>
      </c>
      <c r="F22" s="33">
        <f>G21</f>
        <v/>
      </c>
      <c r="G22" s="33">
        <f>F22+E22</f>
        <v/>
      </c>
      <c r="H22" s="31" t="n"/>
      <c r="I22" s="31" t="n"/>
      <c r="J22" s="31" t="n"/>
      <c r="K22" s="31" t="n"/>
      <c r="L22" s="31" t="n"/>
      <c r="M22" s="31" t="n"/>
      <c r="N22" s="31" t="n"/>
    </row>
    <row r="23" outlineLevel="1" ht="24" customHeight="1">
      <c r="A23" s="11" t="n">
        <v>8</v>
      </c>
      <c r="B23" s="12">
        <f>Справочник!$B$13</f>
        <v/>
      </c>
      <c r="C23" s="11" t="n"/>
      <c r="D23" s="11" t="n"/>
      <c r="E23" s="11">
        <f>Справочник!$C$13</f>
        <v/>
      </c>
      <c r="F23" s="34">
        <f>G22</f>
        <v/>
      </c>
      <c r="G23" s="34">
        <f>F23+E23</f>
        <v/>
      </c>
      <c r="H23" s="11" t="n"/>
      <c r="I23" s="11" t="n"/>
      <c r="J23" s="11" t="n"/>
      <c r="K23" s="11" t="n"/>
      <c r="L23" s="11" t="n"/>
      <c r="M23" s="11" t="n"/>
      <c r="N23" s="11" t="n"/>
    </row>
    <row r="25" ht="30" customHeight="1">
      <c r="A25" s="25" t="n">
        <v>3</v>
      </c>
      <c r="B25" s="26" t="inlineStr">
        <is>
          <t>Цементная смесь тяжелая (экспл.колонна)</t>
        </is>
      </c>
      <c r="C25" s="25">
        <f>Справочник!$C$35</f>
        <v/>
      </c>
      <c r="D25" s="25">
        <f>Справочник!$F$35</f>
        <v/>
      </c>
      <c r="E25" s="25">
        <f>SUM(E26:E33)</f>
        <v/>
      </c>
      <c r="F25" s="27" t="inlineStr">
        <is>
          <t>Этап крепления: Экспл. колонна ОК-245</t>
        </is>
      </c>
      <c r="G25" s="25" t="n"/>
      <c r="H25" s="28">
        <f>Справочник!$E$20</f>
        <v/>
      </c>
      <c r="I25" s="28">
        <f>H25-E25</f>
        <v/>
      </c>
      <c r="J25" s="29" t="n">
        <v>46329</v>
      </c>
      <c r="K25" s="28">
        <f>G33</f>
        <v/>
      </c>
      <c r="L25" s="25">
        <f>H25-K25</f>
        <v/>
      </c>
      <c r="M25" s="25">
        <f>IF(L25&lt;0,"СРЫВ ГРАФИКА",IF(L25&lt;14,"РИСК","В ГРАФИКЕ"))</f>
        <v/>
      </c>
      <c r="N25" s="30" t="inlineStr"/>
    </row>
    <row r="26" outlineLevel="1" ht="24" customHeight="1">
      <c r="A26" s="31" t="n">
        <v>1</v>
      </c>
      <c r="B26" s="32">
        <f>Справочник!$B$6</f>
        <v/>
      </c>
      <c r="C26" s="31" t="n"/>
      <c r="D26" s="31" t="n"/>
      <c r="E26" s="31">
        <f>Справочник!$C$6</f>
        <v/>
      </c>
      <c r="F26" s="33">
        <f>J25</f>
        <v/>
      </c>
      <c r="G26" s="33">
        <f>F26+E26</f>
        <v/>
      </c>
      <c r="H26" s="31" t="n"/>
      <c r="I26" s="31" t="n"/>
      <c r="J26" s="31" t="n"/>
      <c r="K26" s="31" t="n"/>
      <c r="L26" s="31" t="n"/>
      <c r="M26" s="31" t="n"/>
      <c r="N26" s="31" t="n"/>
    </row>
    <row r="27" outlineLevel="1" ht="24" customHeight="1">
      <c r="A27" s="11" t="n">
        <v>2</v>
      </c>
      <c r="B27" s="12">
        <f>Справочник!$B$7</f>
        <v/>
      </c>
      <c r="C27" s="11" t="n"/>
      <c r="D27" s="11" t="n"/>
      <c r="E27" s="11">
        <f>Справочник!$C$7</f>
        <v/>
      </c>
      <c r="F27" s="34">
        <f>G26</f>
        <v/>
      </c>
      <c r="G27" s="34">
        <f>F27+E27</f>
        <v/>
      </c>
      <c r="H27" s="11" t="n"/>
      <c r="I27" s="11" t="n"/>
      <c r="J27" s="11" t="n"/>
      <c r="K27" s="11" t="n"/>
      <c r="L27" s="11" t="n"/>
      <c r="M27" s="11" t="n"/>
      <c r="N27" s="11" t="n"/>
    </row>
    <row r="28" outlineLevel="1" ht="24" customHeight="1">
      <c r="A28" s="31" t="n">
        <v>3</v>
      </c>
      <c r="B28" s="32">
        <f>Справочник!$B$8</f>
        <v/>
      </c>
      <c r="C28" s="31" t="n"/>
      <c r="D28" s="31" t="n"/>
      <c r="E28" s="31">
        <f>Справочник!$C$8</f>
        <v/>
      </c>
      <c r="F28" s="33">
        <f>G27</f>
        <v/>
      </c>
      <c r="G28" s="33">
        <f>F28+E28</f>
        <v/>
      </c>
      <c r="H28" s="31" t="n"/>
      <c r="I28" s="31" t="n"/>
      <c r="J28" s="31" t="n"/>
      <c r="K28" s="31" t="n"/>
      <c r="L28" s="31" t="n"/>
      <c r="M28" s="31" t="n"/>
      <c r="N28" s="31" t="n"/>
    </row>
    <row r="29" outlineLevel="1" ht="24" customHeight="1">
      <c r="A29" s="11" t="n">
        <v>4</v>
      </c>
      <c r="B29" s="12">
        <f>Справочник!$B$9</f>
        <v/>
      </c>
      <c r="C29" s="11" t="n"/>
      <c r="D29" s="11" t="n"/>
      <c r="E29" s="11">
        <f>Справочник!$C$9</f>
        <v/>
      </c>
      <c r="F29" s="34">
        <f>G28</f>
        <v/>
      </c>
      <c r="G29" s="34">
        <f>F29+E29</f>
        <v/>
      </c>
      <c r="H29" s="11" t="n"/>
      <c r="I29" s="11" t="n"/>
      <c r="J29" s="11" t="n"/>
      <c r="K29" s="11" t="n"/>
      <c r="L29" s="11" t="n"/>
      <c r="M29" s="11" t="n"/>
      <c r="N29" s="11" t="n"/>
    </row>
    <row r="30" outlineLevel="1" ht="24" customHeight="1">
      <c r="A30" s="31" t="n">
        <v>5</v>
      </c>
      <c r="B30" s="32">
        <f>Справочник!$B$10</f>
        <v/>
      </c>
      <c r="C30" s="31" t="n"/>
      <c r="D30" s="31" t="n"/>
      <c r="E30" s="31">
        <f>Справочник!$C$10</f>
        <v/>
      </c>
      <c r="F30" s="33">
        <f>G29</f>
        <v/>
      </c>
      <c r="G30" s="33">
        <f>F30+E30</f>
        <v/>
      </c>
      <c r="H30" s="31" t="n"/>
      <c r="I30" s="31" t="n"/>
      <c r="J30" s="31" t="n"/>
      <c r="K30" s="31" t="n"/>
      <c r="L30" s="31" t="n"/>
      <c r="M30" s="31" t="n"/>
      <c r="N30" s="31" t="n"/>
    </row>
    <row r="31" outlineLevel="1" ht="24" customHeight="1">
      <c r="A31" s="11" t="n">
        <v>6</v>
      </c>
      <c r="B31" s="12">
        <f>Справочник!$B$11</f>
        <v/>
      </c>
      <c r="C31" s="11" t="n"/>
      <c r="D31" s="11" t="n"/>
      <c r="E31" s="11">
        <f>Справочник!$C$11</f>
        <v/>
      </c>
      <c r="F31" s="34">
        <f>G30</f>
        <v/>
      </c>
      <c r="G31" s="34">
        <f>F31+E31</f>
        <v/>
      </c>
      <c r="H31" s="11" t="n"/>
      <c r="I31" s="11" t="n"/>
      <c r="J31" s="11" t="n"/>
      <c r="K31" s="11" t="n"/>
      <c r="L31" s="11" t="n"/>
      <c r="M31" s="11" t="n"/>
      <c r="N31" s="11" t="n"/>
    </row>
    <row r="32" outlineLevel="1" ht="24" customHeight="1">
      <c r="A32" s="31" t="n">
        <v>7</v>
      </c>
      <c r="B32" s="32">
        <f>Справочник!$B$12</f>
        <v/>
      </c>
      <c r="C32" s="31" t="n"/>
      <c r="D32" s="31" t="n"/>
      <c r="E32" s="31">
        <f>Справочник!$C$12</f>
        <v/>
      </c>
      <c r="F32" s="33">
        <f>G31</f>
        <v/>
      </c>
      <c r="G32" s="33">
        <f>F32+E32</f>
        <v/>
      </c>
      <c r="H32" s="31" t="n"/>
      <c r="I32" s="31" t="n"/>
      <c r="J32" s="31" t="n"/>
      <c r="K32" s="31" t="n"/>
      <c r="L32" s="31" t="n"/>
      <c r="M32" s="31" t="n"/>
      <c r="N32" s="31" t="n"/>
    </row>
    <row r="33" outlineLevel="1" ht="24" customHeight="1">
      <c r="A33" s="11" t="n">
        <v>8</v>
      </c>
      <c r="B33" s="12">
        <f>Справочник!$B$13</f>
        <v/>
      </c>
      <c r="C33" s="11" t="n"/>
      <c r="D33" s="11" t="n"/>
      <c r="E33" s="11">
        <f>Справочник!$C$13</f>
        <v/>
      </c>
      <c r="F33" s="34">
        <f>G32</f>
        <v/>
      </c>
      <c r="G33" s="34">
        <f>F33+E33</f>
        <v/>
      </c>
      <c r="H33" s="11" t="n"/>
      <c r="I33" s="11" t="n"/>
      <c r="J33" s="11" t="n"/>
      <c r="K33" s="11" t="n"/>
      <c r="L33" s="11" t="n"/>
      <c r="M33" s="11" t="n"/>
      <c r="N33" s="11" t="n"/>
    </row>
    <row r="35" ht="30" customHeight="1">
      <c r="A35" s="25" t="n">
        <v>4</v>
      </c>
      <c r="B35" s="26" t="inlineStr">
        <is>
          <t>Цементная смесь легкая (экспл.колонна)</t>
        </is>
      </c>
      <c r="C35" s="25">
        <f>Справочник!$C$36</f>
        <v/>
      </c>
      <c r="D35" s="25">
        <f>Справочник!$F$36</f>
        <v/>
      </c>
      <c r="E35" s="25">
        <f>SUM(E36:E43)</f>
        <v/>
      </c>
      <c r="F35" s="27" t="inlineStr">
        <is>
          <t>Этап крепления: Экспл. колонна ОК-245</t>
        </is>
      </c>
      <c r="G35" s="25" t="n"/>
      <c r="H35" s="28">
        <f>Справочник!$E$20</f>
        <v/>
      </c>
      <c r="I35" s="28">
        <f>H35-E35</f>
        <v/>
      </c>
      <c r="J35" s="29" t="n">
        <v>46329</v>
      </c>
      <c r="K35" s="28">
        <f>G43</f>
        <v/>
      </c>
      <c r="L35" s="25">
        <f>H35-K35</f>
        <v/>
      </c>
      <c r="M35" s="25">
        <f>IF(L35&lt;0,"СРЫВ ГРАФИКА",IF(L35&lt;14,"РИСК","В ГРАФИКЕ"))</f>
        <v/>
      </c>
      <c r="N35" s="30" t="inlineStr"/>
    </row>
    <row r="36" outlineLevel="1" ht="24" customHeight="1">
      <c r="A36" s="31" t="n">
        <v>1</v>
      </c>
      <c r="B36" s="32">
        <f>Справочник!$B$6</f>
        <v/>
      </c>
      <c r="C36" s="31" t="n"/>
      <c r="D36" s="31" t="n"/>
      <c r="E36" s="31">
        <f>Справочник!$C$6</f>
        <v/>
      </c>
      <c r="F36" s="33">
        <f>J35</f>
        <v/>
      </c>
      <c r="G36" s="33">
        <f>F36+E36</f>
        <v/>
      </c>
      <c r="H36" s="31" t="n"/>
      <c r="I36" s="31" t="n"/>
      <c r="J36" s="31" t="n"/>
      <c r="K36" s="31" t="n"/>
      <c r="L36" s="31" t="n"/>
      <c r="M36" s="31" t="n"/>
      <c r="N36" s="31" t="n"/>
    </row>
    <row r="37" outlineLevel="1" ht="24" customHeight="1">
      <c r="A37" s="11" t="n">
        <v>2</v>
      </c>
      <c r="B37" s="12">
        <f>Справочник!$B$7</f>
        <v/>
      </c>
      <c r="C37" s="11" t="n"/>
      <c r="D37" s="11" t="n"/>
      <c r="E37" s="11">
        <f>Справочник!$C$7</f>
        <v/>
      </c>
      <c r="F37" s="34">
        <f>G36</f>
        <v/>
      </c>
      <c r="G37" s="34">
        <f>F37+E37</f>
        <v/>
      </c>
      <c r="H37" s="11" t="n"/>
      <c r="I37" s="11" t="n"/>
      <c r="J37" s="11" t="n"/>
      <c r="K37" s="11" t="n"/>
      <c r="L37" s="11" t="n"/>
      <c r="M37" s="11" t="n"/>
      <c r="N37" s="11" t="n"/>
    </row>
    <row r="38" outlineLevel="1" ht="24" customHeight="1">
      <c r="A38" s="31" t="n">
        <v>3</v>
      </c>
      <c r="B38" s="32">
        <f>Справочник!$B$8</f>
        <v/>
      </c>
      <c r="C38" s="31" t="n"/>
      <c r="D38" s="31" t="n"/>
      <c r="E38" s="31">
        <f>Справочник!$C$8</f>
        <v/>
      </c>
      <c r="F38" s="33">
        <f>G37</f>
        <v/>
      </c>
      <c r="G38" s="33">
        <f>F38+E38</f>
        <v/>
      </c>
      <c r="H38" s="31" t="n"/>
      <c r="I38" s="31" t="n"/>
      <c r="J38" s="31" t="n"/>
      <c r="K38" s="31" t="n"/>
      <c r="L38" s="31" t="n"/>
      <c r="M38" s="31" t="n"/>
      <c r="N38" s="31" t="n"/>
    </row>
    <row r="39" outlineLevel="1" ht="24" customHeight="1">
      <c r="A39" s="11" t="n">
        <v>4</v>
      </c>
      <c r="B39" s="12">
        <f>Справочник!$B$9</f>
        <v/>
      </c>
      <c r="C39" s="11" t="n"/>
      <c r="D39" s="11" t="n"/>
      <c r="E39" s="11">
        <f>Справочник!$C$9</f>
        <v/>
      </c>
      <c r="F39" s="34">
        <f>G38</f>
        <v/>
      </c>
      <c r="G39" s="34">
        <f>F39+E39</f>
        <v/>
      </c>
      <c r="H39" s="11" t="n"/>
      <c r="I39" s="11" t="n"/>
      <c r="J39" s="11" t="n"/>
      <c r="K39" s="11" t="n"/>
      <c r="L39" s="11" t="n"/>
      <c r="M39" s="11" t="n"/>
      <c r="N39" s="11" t="n"/>
    </row>
    <row r="40" outlineLevel="1" ht="24" customHeight="1">
      <c r="A40" s="31" t="n">
        <v>5</v>
      </c>
      <c r="B40" s="32">
        <f>Справочник!$B$10</f>
        <v/>
      </c>
      <c r="C40" s="31" t="n"/>
      <c r="D40" s="31" t="n"/>
      <c r="E40" s="31">
        <f>Справочник!$C$10</f>
        <v/>
      </c>
      <c r="F40" s="33">
        <f>G39</f>
        <v/>
      </c>
      <c r="G40" s="33">
        <f>F40+E40</f>
        <v/>
      </c>
      <c r="H40" s="31" t="n"/>
      <c r="I40" s="31" t="n"/>
      <c r="J40" s="31" t="n"/>
      <c r="K40" s="31" t="n"/>
      <c r="L40" s="31" t="n"/>
      <c r="M40" s="31" t="n"/>
      <c r="N40" s="31" t="n"/>
    </row>
    <row r="41" outlineLevel="1" ht="24" customHeight="1">
      <c r="A41" s="11" t="n">
        <v>6</v>
      </c>
      <c r="B41" s="12">
        <f>Справочник!$B$11</f>
        <v/>
      </c>
      <c r="C41" s="11" t="n"/>
      <c r="D41" s="11" t="n"/>
      <c r="E41" s="11">
        <f>Справочник!$C$11</f>
        <v/>
      </c>
      <c r="F41" s="34">
        <f>G40</f>
        <v/>
      </c>
      <c r="G41" s="34">
        <f>F41+E41</f>
        <v/>
      </c>
      <c r="H41" s="11" t="n"/>
      <c r="I41" s="11" t="n"/>
      <c r="J41" s="11" t="n"/>
      <c r="K41" s="11" t="n"/>
      <c r="L41" s="11" t="n"/>
      <c r="M41" s="11" t="n"/>
      <c r="N41" s="11" t="n"/>
    </row>
    <row r="42" outlineLevel="1" ht="24" customHeight="1">
      <c r="A42" s="31" t="n">
        <v>7</v>
      </c>
      <c r="B42" s="32">
        <f>Справочник!$B$12</f>
        <v/>
      </c>
      <c r="C42" s="31" t="n"/>
      <c r="D42" s="31" t="n"/>
      <c r="E42" s="31">
        <f>Справочник!$C$12</f>
        <v/>
      </c>
      <c r="F42" s="33">
        <f>G41</f>
        <v/>
      </c>
      <c r="G42" s="33">
        <f>F42+E42</f>
        <v/>
      </c>
      <c r="H42" s="31" t="n"/>
      <c r="I42" s="31" t="n"/>
      <c r="J42" s="31" t="n"/>
      <c r="K42" s="31" t="n"/>
      <c r="L42" s="31" t="n"/>
      <c r="M42" s="31" t="n"/>
      <c r="N42" s="31" t="n"/>
    </row>
    <row r="43" outlineLevel="1" ht="24" customHeight="1">
      <c r="A43" s="11" t="n">
        <v>8</v>
      </c>
      <c r="B43" s="12">
        <f>Справочник!$B$13</f>
        <v/>
      </c>
      <c r="C43" s="11" t="n"/>
      <c r="D43" s="11" t="n"/>
      <c r="E43" s="11">
        <f>Справочник!$C$13</f>
        <v/>
      </c>
      <c r="F43" s="34">
        <f>G42</f>
        <v/>
      </c>
      <c r="G43" s="34">
        <f>F43+E43</f>
        <v/>
      </c>
      <c r="H43" s="11" t="n"/>
      <c r="I43" s="11" t="n"/>
      <c r="J43" s="11" t="n"/>
      <c r="K43" s="11" t="n"/>
      <c r="L43" s="11" t="n"/>
      <c r="M43" s="11" t="n"/>
      <c r="N43" s="11" t="n"/>
    </row>
    <row r="45" ht="30" customHeight="1">
      <c r="A45" s="25" t="n">
        <v>5</v>
      </c>
      <c r="B45" s="26" t="inlineStr">
        <is>
          <t>Замедлитель</t>
        </is>
      </c>
      <c r="C45" s="25">
        <f>Справочник!$C$37</f>
        <v/>
      </c>
      <c r="D45" s="25">
        <f>Справочник!$F$37</f>
        <v/>
      </c>
      <c r="E45" s="25">
        <f>SUM(E46:E53)</f>
        <v/>
      </c>
      <c r="F45" s="27" t="inlineStr">
        <is>
          <t>Этап крепления: Направление ОК-426</t>
        </is>
      </c>
      <c r="G45" s="25" t="n"/>
      <c r="H45" s="28">
        <f>Справочник!$E$18</f>
        <v/>
      </c>
      <c r="I45" s="28">
        <f>H45-E45</f>
        <v/>
      </c>
      <c r="J45" s="29" t="n">
        <v>46285</v>
      </c>
      <c r="K45" s="28">
        <f>G53</f>
        <v/>
      </c>
      <c r="L45" s="25">
        <f>H45-K45</f>
        <v/>
      </c>
      <c r="M45" s="25">
        <f>IF(L45&lt;0,"СРЫВ ГРАФИКА",IF(L45&lt;14,"РИСК","В ГРАФИКЕ"))</f>
        <v/>
      </c>
      <c r="N45" s="30" t="inlineStr">
        <is>
          <t>Запас 12 сут — ниже норматива 14 сут. Заказ разместить первым приоритетом, взять на еженедельный контроль.</t>
        </is>
      </c>
    </row>
    <row r="46" outlineLevel="1" ht="24" customHeight="1">
      <c r="A46" s="31" t="n">
        <v>1</v>
      </c>
      <c r="B46" s="32">
        <f>Справочник!$B$6</f>
        <v/>
      </c>
      <c r="C46" s="31" t="n"/>
      <c r="D46" s="31" t="n"/>
      <c r="E46" s="31">
        <f>Справочник!$D$6</f>
        <v/>
      </c>
      <c r="F46" s="33">
        <f>J45</f>
        <v/>
      </c>
      <c r="G46" s="33">
        <f>F46+E46</f>
        <v/>
      </c>
      <c r="H46" s="31" t="n"/>
      <c r="I46" s="31" t="n"/>
      <c r="J46" s="31" t="n"/>
      <c r="K46" s="31" t="n"/>
      <c r="L46" s="31" t="n"/>
      <c r="M46" s="31" t="n"/>
      <c r="N46" s="31" t="n"/>
    </row>
    <row r="47" outlineLevel="1" ht="24" customHeight="1">
      <c r="A47" s="11" t="n">
        <v>2</v>
      </c>
      <c r="B47" s="12">
        <f>Справочник!$B$7</f>
        <v/>
      </c>
      <c r="C47" s="11" t="n"/>
      <c r="D47" s="11" t="n"/>
      <c r="E47" s="11">
        <f>Справочник!$D$7</f>
        <v/>
      </c>
      <c r="F47" s="34">
        <f>G46</f>
        <v/>
      </c>
      <c r="G47" s="34">
        <f>F47+E47</f>
        <v/>
      </c>
      <c r="H47" s="11" t="n"/>
      <c r="I47" s="11" t="n"/>
      <c r="J47" s="11" t="n"/>
      <c r="K47" s="11" t="n"/>
      <c r="L47" s="11" t="n"/>
      <c r="M47" s="11" t="n"/>
      <c r="N47" s="11" t="n"/>
    </row>
    <row r="48" outlineLevel="1" ht="24" customHeight="1">
      <c r="A48" s="31" t="n">
        <v>3</v>
      </c>
      <c r="B48" s="32">
        <f>Справочник!$B$8</f>
        <v/>
      </c>
      <c r="C48" s="31" t="n"/>
      <c r="D48" s="31" t="n"/>
      <c r="E48" s="31">
        <f>Справочник!$D$8</f>
        <v/>
      </c>
      <c r="F48" s="33">
        <f>G47</f>
        <v/>
      </c>
      <c r="G48" s="33">
        <f>F48+E48</f>
        <v/>
      </c>
      <c r="H48" s="31" t="n"/>
      <c r="I48" s="31" t="n"/>
      <c r="J48" s="31" t="n"/>
      <c r="K48" s="31" t="n"/>
      <c r="L48" s="31" t="n"/>
      <c r="M48" s="31" t="n"/>
      <c r="N48" s="31" t="n"/>
    </row>
    <row r="49" outlineLevel="1" ht="24" customHeight="1">
      <c r="A49" s="11" t="n">
        <v>4</v>
      </c>
      <c r="B49" s="12">
        <f>Справочник!$B$9</f>
        <v/>
      </c>
      <c r="C49" s="11" t="n"/>
      <c r="D49" s="11" t="n"/>
      <c r="E49" s="11">
        <f>Справочник!$D$9</f>
        <v/>
      </c>
      <c r="F49" s="34">
        <f>G48</f>
        <v/>
      </c>
      <c r="G49" s="34">
        <f>F49+E49</f>
        <v/>
      </c>
      <c r="H49" s="11" t="n"/>
      <c r="I49" s="11" t="n"/>
      <c r="J49" s="11" t="n"/>
      <c r="K49" s="11" t="n"/>
      <c r="L49" s="11" t="n"/>
      <c r="M49" s="11" t="n"/>
      <c r="N49" s="11" t="n"/>
    </row>
    <row r="50" outlineLevel="1" ht="24" customHeight="1">
      <c r="A50" s="31" t="n">
        <v>5</v>
      </c>
      <c r="B50" s="32">
        <f>Справочник!$B$10</f>
        <v/>
      </c>
      <c r="C50" s="31" t="n"/>
      <c r="D50" s="31" t="n"/>
      <c r="E50" s="31">
        <f>Справочник!$D$10</f>
        <v/>
      </c>
      <c r="F50" s="33">
        <f>G49</f>
        <v/>
      </c>
      <c r="G50" s="33">
        <f>F50+E50</f>
        <v/>
      </c>
      <c r="H50" s="31" t="n"/>
      <c r="I50" s="31" t="n"/>
      <c r="J50" s="31" t="n"/>
      <c r="K50" s="31" t="n"/>
      <c r="L50" s="31" t="n"/>
      <c r="M50" s="31" t="n"/>
      <c r="N50" s="31" t="n"/>
    </row>
    <row r="51" outlineLevel="1" ht="24" customHeight="1">
      <c r="A51" s="11" t="n">
        <v>6</v>
      </c>
      <c r="B51" s="12">
        <f>Справочник!$B$11</f>
        <v/>
      </c>
      <c r="C51" s="11" t="n"/>
      <c r="D51" s="11" t="n"/>
      <c r="E51" s="11">
        <f>Справочник!$D$11</f>
        <v/>
      </c>
      <c r="F51" s="34">
        <f>G50</f>
        <v/>
      </c>
      <c r="G51" s="34">
        <f>F51+E51</f>
        <v/>
      </c>
      <c r="H51" s="11" t="n"/>
      <c r="I51" s="11" t="n"/>
      <c r="J51" s="11" t="n"/>
      <c r="K51" s="11" t="n"/>
      <c r="L51" s="11" t="n"/>
      <c r="M51" s="11" t="n"/>
      <c r="N51" s="11" t="n"/>
    </row>
    <row r="52" outlineLevel="1" ht="24" customHeight="1">
      <c r="A52" s="31" t="n">
        <v>7</v>
      </c>
      <c r="B52" s="32">
        <f>Справочник!$B$12</f>
        <v/>
      </c>
      <c r="C52" s="31" t="n"/>
      <c r="D52" s="31" t="n"/>
      <c r="E52" s="31">
        <f>Справочник!$D$12</f>
        <v/>
      </c>
      <c r="F52" s="33">
        <f>G51</f>
        <v/>
      </c>
      <c r="G52" s="33">
        <f>F52+E52</f>
        <v/>
      </c>
      <c r="H52" s="31" t="n"/>
      <c r="I52" s="31" t="n"/>
      <c r="J52" s="31" t="n"/>
      <c r="K52" s="31" t="n"/>
      <c r="L52" s="31" t="n"/>
      <c r="M52" s="31" t="n"/>
      <c r="N52" s="31" t="n"/>
    </row>
    <row r="53" outlineLevel="1" ht="24" customHeight="1">
      <c r="A53" s="11" t="n">
        <v>8</v>
      </c>
      <c r="B53" s="12">
        <f>Справочник!$B$13</f>
        <v/>
      </c>
      <c r="C53" s="11" t="n"/>
      <c r="D53" s="11" t="n"/>
      <c r="E53" s="11">
        <f>Справочник!$D$13</f>
        <v/>
      </c>
      <c r="F53" s="34">
        <f>G52</f>
        <v/>
      </c>
      <c r="G53" s="34">
        <f>F53+E53</f>
        <v/>
      </c>
      <c r="H53" s="11" t="n"/>
      <c r="I53" s="11" t="n"/>
      <c r="J53" s="11" t="n"/>
      <c r="K53" s="11" t="n"/>
      <c r="L53" s="11" t="n"/>
      <c r="M53" s="11" t="n"/>
      <c r="N53" s="11" t="n"/>
    </row>
    <row r="55" ht="30" customHeight="1">
      <c r="A55" s="25" t="n">
        <v>6</v>
      </c>
      <c r="B55" s="26" t="inlineStr">
        <is>
          <t>Труба обсадная ОК-426</t>
        </is>
      </c>
      <c r="C55" s="25">
        <f>Справочник!$C$38</f>
        <v/>
      </c>
      <c r="D55" s="25">
        <f>Справочник!$F$38</f>
        <v/>
      </c>
      <c r="E55" s="25">
        <f>SUM(E56:E63)</f>
        <v/>
      </c>
      <c r="F55" s="27" t="inlineStr">
        <is>
          <t>Этап крепления: Направление ОК-426</t>
        </is>
      </c>
      <c r="G55" s="25" t="n"/>
      <c r="H55" s="28">
        <f>Справочник!$E$18</f>
        <v/>
      </c>
      <c r="I55" s="28">
        <f>H55-E55</f>
        <v/>
      </c>
      <c r="J55" s="29" t="n">
        <v>46285</v>
      </c>
      <c r="K55" s="28">
        <f>G63</f>
        <v/>
      </c>
      <c r="L55" s="25">
        <f>H55-K55</f>
        <v/>
      </c>
      <c r="M55" s="25">
        <f>IF(L55&lt;0,"СРЫВ ГРАФИКА",IF(L55&lt;14,"РИСК","В ГРАФИКЕ"))</f>
        <v/>
      </c>
      <c r="N55" s="30" t="inlineStr">
        <is>
          <t>СРЫВ 31 сут. Мероприятие: закупка со склада готовой продукции завода (исключает этап изготовления, -35 сут) либо перераспределение трубы с ЮГ-2/ЮГ-3 с последующим восполнением.</t>
        </is>
      </c>
    </row>
    <row r="56" outlineLevel="1" ht="24" customHeight="1">
      <c r="A56" s="31" t="n">
        <v>1</v>
      </c>
      <c r="B56" s="32">
        <f>Справочник!$B$6</f>
        <v/>
      </c>
      <c r="C56" s="31" t="n"/>
      <c r="D56" s="31" t="n"/>
      <c r="E56" s="31">
        <f>Справочник!$E$6</f>
        <v/>
      </c>
      <c r="F56" s="33">
        <f>J55</f>
        <v/>
      </c>
      <c r="G56" s="33">
        <f>F56+E56</f>
        <v/>
      </c>
      <c r="H56" s="31" t="n"/>
      <c r="I56" s="31" t="n"/>
      <c r="J56" s="31" t="n"/>
      <c r="K56" s="31" t="n"/>
      <c r="L56" s="31" t="n"/>
      <c r="M56" s="31" t="n"/>
      <c r="N56" s="31" t="n"/>
    </row>
    <row r="57" outlineLevel="1" ht="24" customHeight="1">
      <c r="A57" s="11" t="n">
        <v>2</v>
      </c>
      <c r="B57" s="12">
        <f>Справочник!$B$7</f>
        <v/>
      </c>
      <c r="C57" s="11" t="n"/>
      <c r="D57" s="11" t="n"/>
      <c r="E57" s="11">
        <f>Справочник!$E$7</f>
        <v/>
      </c>
      <c r="F57" s="34">
        <f>G56</f>
        <v/>
      </c>
      <c r="G57" s="34">
        <f>F57+E57</f>
        <v/>
      </c>
      <c r="H57" s="11" t="n"/>
      <c r="I57" s="11" t="n"/>
      <c r="J57" s="11" t="n"/>
      <c r="K57" s="11" t="n"/>
      <c r="L57" s="11" t="n"/>
      <c r="M57" s="11" t="n"/>
      <c r="N57" s="11" t="n"/>
    </row>
    <row r="58" outlineLevel="1" ht="24" customHeight="1">
      <c r="A58" s="31" t="n">
        <v>3</v>
      </c>
      <c r="B58" s="32">
        <f>Справочник!$B$8</f>
        <v/>
      </c>
      <c r="C58" s="31" t="n"/>
      <c r="D58" s="31" t="n"/>
      <c r="E58" s="31">
        <f>Справочник!$E$8</f>
        <v/>
      </c>
      <c r="F58" s="33">
        <f>G57</f>
        <v/>
      </c>
      <c r="G58" s="33">
        <f>F58+E58</f>
        <v/>
      </c>
      <c r="H58" s="31" t="n"/>
      <c r="I58" s="31" t="n"/>
      <c r="J58" s="31" t="n"/>
      <c r="K58" s="31" t="n"/>
      <c r="L58" s="31" t="n"/>
      <c r="M58" s="31" t="n"/>
      <c r="N58" s="31" t="n"/>
    </row>
    <row r="59" outlineLevel="1" ht="24" customHeight="1">
      <c r="A59" s="11" t="n">
        <v>4</v>
      </c>
      <c r="B59" s="12">
        <f>Справочник!$B$9</f>
        <v/>
      </c>
      <c r="C59" s="11" t="n"/>
      <c r="D59" s="11" t="n"/>
      <c r="E59" s="11">
        <f>Справочник!$E$9</f>
        <v/>
      </c>
      <c r="F59" s="34">
        <f>G58</f>
        <v/>
      </c>
      <c r="G59" s="34">
        <f>F59+E59</f>
        <v/>
      </c>
      <c r="H59" s="11" t="n"/>
      <c r="I59" s="11" t="n"/>
      <c r="J59" s="11" t="n"/>
      <c r="K59" s="11" t="n"/>
      <c r="L59" s="11" t="n"/>
      <c r="M59" s="11" t="n"/>
      <c r="N59" s="11" t="n"/>
    </row>
    <row r="60" outlineLevel="1" ht="24" customHeight="1">
      <c r="A60" s="31" t="n">
        <v>5</v>
      </c>
      <c r="B60" s="32">
        <f>Справочник!$B$10</f>
        <v/>
      </c>
      <c r="C60" s="31" t="n"/>
      <c r="D60" s="31" t="n"/>
      <c r="E60" s="31">
        <f>Справочник!$E$10</f>
        <v/>
      </c>
      <c r="F60" s="33">
        <f>G59</f>
        <v/>
      </c>
      <c r="G60" s="33">
        <f>F60+E60</f>
        <v/>
      </c>
      <c r="H60" s="31" t="n"/>
      <c r="I60" s="31" t="n"/>
      <c r="J60" s="31" t="n"/>
      <c r="K60" s="31" t="n"/>
      <c r="L60" s="31" t="n"/>
      <c r="M60" s="31" t="n"/>
      <c r="N60" s="31" t="n"/>
    </row>
    <row r="61" outlineLevel="1" ht="24" customHeight="1">
      <c r="A61" s="11" t="n">
        <v>6</v>
      </c>
      <c r="B61" s="12">
        <f>Справочник!$B$11</f>
        <v/>
      </c>
      <c r="C61" s="11" t="n"/>
      <c r="D61" s="11" t="n"/>
      <c r="E61" s="11">
        <f>Справочник!$E$11</f>
        <v/>
      </c>
      <c r="F61" s="34">
        <f>G60</f>
        <v/>
      </c>
      <c r="G61" s="34">
        <f>F61+E61</f>
        <v/>
      </c>
      <c r="H61" s="11" t="n"/>
      <c r="I61" s="11" t="n"/>
      <c r="J61" s="11" t="n"/>
      <c r="K61" s="11" t="n"/>
      <c r="L61" s="11" t="n"/>
      <c r="M61" s="11" t="n"/>
      <c r="N61" s="11" t="n"/>
    </row>
    <row r="62" outlineLevel="1" ht="24" customHeight="1">
      <c r="A62" s="31" t="n">
        <v>7</v>
      </c>
      <c r="B62" s="32">
        <f>Справочник!$B$12</f>
        <v/>
      </c>
      <c r="C62" s="31" t="n"/>
      <c r="D62" s="31" t="n"/>
      <c r="E62" s="31">
        <f>Справочник!$E$12</f>
        <v/>
      </c>
      <c r="F62" s="33">
        <f>G61</f>
        <v/>
      </c>
      <c r="G62" s="33">
        <f>F62+E62</f>
        <v/>
      </c>
      <c r="H62" s="31" t="n"/>
      <c r="I62" s="31" t="n"/>
      <c r="J62" s="31" t="n"/>
      <c r="K62" s="31" t="n"/>
      <c r="L62" s="31" t="n"/>
      <c r="M62" s="31" t="n"/>
      <c r="N62" s="31" t="n"/>
    </row>
    <row r="63" outlineLevel="1" ht="24" customHeight="1">
      <c r="A63" s="11" t="n">
        <v>8</v>
      </c>
      <c r="B63" s="12">
        <f>Справочник!$B$13</f>
        <v/>
      </c>
      <c r="C63" s="11" t="n"/>
      <c r="D63" s="11" t="n"/>
      <c r="E63" s="11">
        <f>Справочник!$E$13</f>
        <v/>
      </c>
      <c r="F63" s="34">
        <f>G62</f>
        <v/>
      </c>
      <c r="G63" s="34">
        <f>F63+E63</f>
        <v/>
      </c>
      <c r="H63" s="11" t="n"/>
      <c r="I63" s="11" t="n"/>
      <c r="J63" s="11" t="n"/>
      <c r="K63" s="11" t="n"/>
      <c r="L63" s="11" t="n"/>
      <c r="M63" s="11" t="n"/>
      <c r="N63" s="11" t="n"/>
    </row>
    <row r="65" ht="30" customHeight="1">
      <c r="A65" s="25" t="n">
        <v>7</v>
      </c>
      <c r="B65" s="26" t="inlineStr">
        <is>
          <t>Труба обсадная ОК-324</t>
        </is>
      </c>
      <c r="C65" s="25">
        <f>Справочник!$C$39</f>
        <v/>
      </c>
      <c r="D65" s="25">
        <f>Справочник!$F$39</f>
        <v/>
      </c>
      <c r="E65" s="25">
        <f>SUM(E66:E73)</f>
        <v/>
      </c>
      <c r="F65" s="27" t="inlineStr">
        <is>
          <t>Этап крепления: Кондуктор ОК-324</t>
        </is>
      </c>
      <c r="G65" s="25" t="n"/>
      <c r="H65" s="28">
        <f>Справочник!$E$19</f>
        <v/>
      </c>
      <c r="I65" s="28">
        <f>H65-E65</f>
        <v/>
      </c>
      <c r="J65" s="29" t="n">
        <v>46285</v>
      </c>
      <c r="K65" s="28">
        <f>G73</f>
        <v/>
      </c>
      <c r="L65" s="25">
        <f>H65-K65</f>
        <v/>
      </c>
      <c r="M65" s="25">
        <f>IF(L65&lt;0,"СРЫВ ГРАФИКА",IF(L65&lt;14,"РИСК","В ГРАФИКЕ"))</f>
        <v/>
      </c>
      <c r="N65" s="30" t="inlineStr">
        <is>
          <t>СРЫВ 16 сут. Мероприятие: закупка со склада готовой продукции завода (-35 сут) либо ускоренная отправка отдельным вагоном без накопления партии (-6 сут).</t>
        </is>
      </c>
    </row>
    <row r="66" outlineLevel="1" ht="24" customHeight="1">
      <c r="A66" s="31" t="n">
        <v>1</v>
      </c>
      <c r="B66" s="32">
        <f>Справочник!$B$6</f>
        <v/>
      </c>
      <c r="C66" s="31" t="n"/>
      <c r="D66" s="31" t="n"/>
      <c r="E66" s="31">
        <f>Справочник!$E$6</f>
        <v/>
      </c>
      <c r="F66" s="33">
        <f>J65</f>
        <v/>
      </c>
      <c r="G66" s="33">
        <f>F66+E66</f>
        <v/>
      </c>
      <c r="H66" s="31" t="n"/>
      <c r="I66" s="31" t="n"/>
      <c r="J66" s="31" t="n"/>
      <c r="K66" s="31" t="n"/>
      <c r="L66" s="31" t="n"/>
      <c r="M66" s="31" t="n"/>
      <c r="N66" s="31" t="n"/>
    </row>
    <row r="67" outlineLevel="1" ht="24" customHeight="1">
      <c r="A67" s="11" t="n">
        <v>2</v>
      </c>
      <c r="B67" s="12">
        <f>Справочник!$B$7</f>
        <v/>
      </c>
      <c r="C67" s="11" t="n"/>
      <c r="D67" s="11" t="n"/>
      <c r="E67" s="11">
        <f>Справочник!$E$7</f>
        <v/>
      </c>
      <c r="F67" s="34">
        <f>G66</f>
        <v/>
      </c>
      <c r="G67" s="34">
        <f>F67+E67</f>
        <v/>
      </c>
      <c r="H67" s="11" t="n"/>
      <c r="I67" s="11" t="n"/>
      <c r="J67" s="11" t="n"/>
      <c r="K67" s="11" t="n"/>
      <c r="L67" s="11" t="n"/>
      <c r="M67" s="11" t="n"/>
      <c r="N67" s="11" t="n"/>
    </row>
    <row r="68" outlineLevel="1" ht="24" customHeight="1">
      <c r="A68" s="31" t="n">
        <v>3</v>
      </c>
      <c r="B68" s="32">
        <f>Справочник!$B$8</f>
        <v/>
      </c>
      <c r="C68" s="31" t="n"/>
      <c r="D68" s="31" t="n"/>
      <c r="E68" s="31">
        <f>Справочник!$E$8</f>
        <v/>
      </c>
      <c r="F68" s="33">
        <f>G67</f>
        <v/>
      </c>
      <c r="G68" s="33">
        <f>F68+E68</f>
        <v/>
      </c>
      <c r="H68" s="31" t="n"/>
      <c r="I68" s="31" t="n"/>
      <c r="J68" s="31" t="n"/>
      <c r="K68" s="31" t="n"/>
      <c r="L68" s="31" t="n"/>
      <c r="M68" s="31" t="n"/>
      <c r="N68" s="31" t="n"/>
    </row>
    <row r="69" outlineLevel="1" ht="24" customHeight="1">
      <c r="A69" s="11" t="n">
        <v>4</v>
      </c>
      <c r="B69" s="12">
        <f>Справочник!$B$9</f>
        <v/>
      </c>
      <c r="C69" s="11" t="n"/>
      <c r="D69" s="11" t="n"/>
      <c r="E69" s="11">
        <f>Справочник!$E$9</f>
        <v/>
      </c>
      <c r="F69" s="34">
        <f>G68</f>
        <v/>
      </c>
      <c r="G69" s="34">
        <f>F69+E69</f>
        <v/>
      </c>
      <c r="H69" s="11" t="n"/>
      <c r="I69" s="11" t="n"/>
      <c r="J69" s="11" t="n"/>
      <c r="K69" s="11" t="n"/>
      <c r="L69" s="11" t="n"/>
      <c r="M69" s="11" t="n"/>
      <c r="N69" s="11" t="n"/>
    </row>
    <row r="70" outlineLevel="1" ht="24" customHeight="1">
      <c r="A70" s="31" t="n">
        <v>5</v>
      </c>
      <c r="B70" s="32">
        <f>Справочник!$B$10</f>
        <v/>
      </c>
      <c r="C70" s="31" t="n"/>
      <c r="D70" s="31" t="n"/>
      <c r="E70" s="31">
        <f>Справочник!$E$10</f>
        <v/>
      </c>
      <c r="F70" s="33">
        <f>G69</f>
        <v/>
      </c>
      <c r="G70" s="33">
        <f>F70+E70</f>
        <v/>
      </c>
      <c r="H70" s="31" t="n"/>
      <c r="I70" s="31" t="n"/>
      <c r="J70" s="31" t="n"/>
      <c r="K70" s="31" t="n"/>
      <c r="L70" s="31" t="n"/>
      <c r="M70" s="31" t="n"/>
      <c r="N70" s="31" t="n"/>
    </row>
    <row r="71" outlineLevel="1" ht="24" customHeight="1">
      <c r="A71" s="11" t="n">
        <v>6</v>
      </c>
      <c r="B71" s="12">
        <f>Справочник!$B$11</f>
        <v/>
      </c>
      <c r="C71" s="11" t="n"/>
      <c r="D71" s="11" t="n"/>
      <c r="E71" s="11">
        <f>Справочник!$E$11</f>
        <v/>
      </c>
      <c r="F71" s="34">
        <f>G70</f>
        <v/>
      </c>
      <c r="G71" s="34">
        <f>F71+E71</f>
        <v/>
      </c>
      <c r="H71" s="11" t="n"/>
      <c r="I71" s="11" t="n"/>
      <c r="J71" s="11" t="n"/>
      <c r="K71" s="11" t="n"/>
      <c r="L71" s="11" t="n"/>
      <c r="M71" s="11" t="n"/>
      <c r="N71" s="11" t="n"/>
    </row>
    <row r="72" outlineLevel="1" ht="24" customHeight="1">
      <c r="A72" s="31" t="n">
        <v>7</v>
      </c>
      <c r="B72" s="32">
        <f>Справочник!$B$12</f>
        <v/>
      </c>
      <c r="C72" s="31" t="n"/>
      <c r="D72" s="31" t="n"/>
      <c r="E72" s="31">
        <f>Справочник!$E$12</f>
        <v/>
      </c>
      <c r="F72" s="33">
        <f>G71</f>
        <v/>
      </c>
      <c r="G72" s="33">
        <f>F72+E72</f>
        <v/>
      </c>
      <c r="H72" s="31" t="n"/>
      <c r="I72" s="31" t="n"/>
      <c r="J72" s="31" t="n"/>
      <c r="K72" s="31" t="n"/>
      <c r="L72" s="31" t="n"/>
      <c r="M72" s="31" t="n"/>
      <c r="N72" s="31" t="n"/>
    </row>
    <row r="73" outlineLevel="1" ht="24" customHeight="1">
      <c r="A73" s="11" t="n">
        <v>8</v>
      </c>
      <c r="B73" s="12">
        <f>Справочник!$B$13</f>
        <v/>
      </c>
      <c r="C73" s="11" t="n"/>
      <c r="D73" s="11" t="n"/>
      <c r="E73" s="11">
        <f>Справочник!$E$13</f>
        <v/>
      </c>
      <c r="F73" s="34">
        <f>G72</f>
        <v/>
      </c>
      <c r="G73" s="34">
        <f>F73+E73</f>
        <v/>
      </c>
      <c r="H73" s="11" t="n"/>
      <c r="I73" s="11" t="n"/>
      <c r="J73" s="11" t="n"/>
      <c r="K73" s="11" t="n"/>
      <c r="L73" s="11" t="n"/>
      <c r="M73" s="11" t="n"/>
      <c r="N73" s="11" t="n"/>
    </row>
    <row r="75" ht="30" customHeight="1">
      <c r="A75" s="25" t="n">
        <v>8</v>
      </c>
      <c r="B75" s="26" t="inlineStr">
        <is>
          <t>Труба обсадная ОК-245</t>
        </is>
      </c>
      <c r="C75" s="25">
        <f>Справочник!$C$40</f>
        <v/>
      </c>
      <c r="D75" s="25">
        <f>Справочник!$F$40</f>
        <v/>
      </c>
      <c r="E75" s="25">
        <f>SUM(E76:E83)</f>
        <v/>
      </c>
      <c r="F75" s="27" t="inlineStr">
        <is>
          <t>Этап крепления: Экспл. колонна ОК-245</t>
        </is>
      </c>
      <c r="G75" s="25" t="n"/>
      <c r="H75" s="28">
        <f>Справочник!$E$20</f>
        <v/>
      </c>
      <c r="I75" s="28">
        <f>H75-E75</f>
        <v/>
      </c>
      <c r="J75" s="29" t="n">
        <v>46286</v>
      </c>
      <c r="K75" s="28">
        <f>G83</f>
        <v/>
      </c>
      <c r="L75" s="25">
        <f>H75-K75</f>
        <v/>
      </c>
      <c r="M75" s="25">
        <f>IF(L75&lt;0,"СРЫВ ГРАФИКА",IF(L75&lt;14,"РИСК","В ГРАФИКЕ"))</f>
        <v/>
      </c>
      <c r="N75" s="30" t="inlineStr"/>
    </row>
    <row r="76" outlineLevel="1" ht="24" customHeight="1">
      <c r="A76" s="31" t="n">
        <v>1</v>
      </c>
      <c r="B76" s="32">
        <f>Справочник!$B$6</f>
        <v/>
      </c>
      <c r="C76" s="31" t="n"/>
      <c r="D76" s="31" t="n"/>
      <c r="E76" s="31">
        <f>Справочник!$E$6</f>
        <v/>
      </c>
      <c r="F76" s="33">
        <f>J75</f>
        <v/>
      </c>
      <c r="G76" s="33">
        <f>F76+E76</f>
        <v/>
      </c>
      <c r="H76" s="31" t="n"/>
      <c r="I76" s="31" t="n"/>
      <c r="J76" s="31" t="n"/>
      <c r="K76" s="31" t="n"/>
      <c r="L76" s="31" t="n"/>
      <c r="M76" s="31" t="n"/>
      <c r="N76" s="31" t="n"/>
    </row>
    <row r="77" outlineLevel="1" ht="24" customHeight="1">
      <c r="A77" s="11" t="n">
        <v>2</v>
      </c>
      <c r="B77" s="12">
        <f>Справочник!$B$7</f>
        <v/>
      </c>
      <c r="C77" s="11" t="n"/>
      <c r="D77" s="11" t="n"/>
      <c r="E77" s="11">
        <f>Справочник!$E$7</f>
        <v/>
      </c>
      <c r="F77" s="34">
        <f>G76</f>
        <v/>
      </c>
      <c r="G77" s="34">
        <f>F77+E77</f>
        <v/>
      </c>
      <c r="H77" s="11" t="n"/>
      <c r="I77" s="11" t="n"/>
      <c r="J77" s="11" t="n"/>
      <c r="K77" s="11" t="n"/>
      <c r="L77" s="11" t="n"/>
      <c r="M77" s="11" t="n"/>
      <c r="N77" s="11" t="n"/>
    </row>
    <row r="78" outlineLevel="1" ht="24" customHeight="1">
      <c r="A78" s="31" t="n">
        <v>3</v>
      </c>
      <c r="B78" s="32">
        <f>Справочник!$B$8</f>
        <v/>
      </c>
      <c r="C78" s="31" t="n"/>
      <c r="D78" s="31" t="n"/>
      <c r="E78" s="31">
        <f>Справочник!$E$8</f>
        <v/>
      </c>
      <c r="F78" s="33">
        <f>G77</f>
        <v/>
      </c>
      <c r="G78" s="33">
        <f>F78+E78</f>
        <v/>
      </c>
      <c r="H78" s="31" t="n"/>
      <c r="I78" s="31" t="n"/>
      <c r="J78" s="31" t="n"/>
      <c r="K78" s="31" t="n"/>
      <c r="L78" s="31" t="n"/>
      <c r="M78" s="31" t="n"/>
      <c r="N78" s="31" t="n"/>
    </row>
    <row r="79" outlineLevel="1" ht="24" customHeight="1">
      <c r="A79" s="11" t="n">
        <v>4</v>
      </c>
      <c r="B79" s="12">
        <f>Справочник!$B$9</f>
        <v/>
      </c>
      <c r="C79" s="11" t="n"/>
      <c r="D79" s="11" t="n"/>
      <c r="E79" s="11">
        <f>Справочник!$E$9</f>
        <v/>
      </c>
      <c r="F79" s="34">
        <f>G78</f>
        <v/>
      </c>
      <c r="G79" s="34">
        <f>F79+E79</f>
        <v/>
      </c>
      <c r="H79" s="11" t="n"/>
      <c r="I79" s="11" t="n"/>
      <c r="J79" s="11" t="n"/>
      <c r="K79" s="11" t="n"/>
      <c r="L79" s="11" t="n"/>
      <c r="M79" s="11" t="n"/>
      <c r="N79" s="11" t="n"/>
    </row>
    <row r="80" outlineLevel="1" ht="24" customHeight="1">
      <c r="A80" s="31" t="n">
        <v>5</v>
      </c>
      <c r="B80" s="32">
        <f>Справочник!$B$10</f>
        <v/>
      </c>
      <c r="C80" s="31" t="n"/>
      <c r="D80" s="31" t="n"/>
      <c r="E80" s="31">
        <f>Справочник!$E$10</f>
        <v/>
      </c>
      <c r="F80" s="33">
        <f>G79</f>
        <v/>
      </c>
      <c r="G80" s="33">
        <f>F80+E80</f>
        <v/>
      </c>
      <c r="H80" s="31" t="n"/>
      <c r="I80" s="31" t="n"/>
      <c r="J80" s="31" t="n"/>
      <c r="K80" s="31" t="n"/>
      <c r="L80" s="31" t="n"/>
      <c r="M80" s="31" t="n"/>
      <c r="N80" s="31" t="n"/>
    </row>
    <row r="81" outlineLevel="1" ht="24" customHeight="1">
      <c r="A81" s="11" t="n">
        <v>6</v>
      </c>
      <c r="B81" s="12">
        <f>Справочник!$B$11</f>
        <v/>
      </c>
      <c r="C81" s="11" t="n"/>
      <c r="D81" s="11" t="n"/>
      <c r="E81" s="11">
        <f>Справочник!$E$11</f>
        <v/>
      </c>
      <c r="F81" s="34">
        <f>G80</f>
        <v/>
      </c>
      <c r="G81" s="34">
        <f>F81+E81</f>
        <v/>
      </c>
      <c r="H81" s="11" t="n"/>
      <c r="I81" s="11" t="n"/>
      <c r="J81" s="11" t="n"/>
      <c r="K81" s="11" t="n"/>
      <c r="L81" s="11" t="n"/>
      <c r="M81" s="11" t="n"/>
      <c r="N81" s="11" t="n"/>
    </row>
    <row r="82" outlineLevel="1" ht="24" customHeight="1">
      <c r="A82" s="31" t="n">
        <v>7</v>
      </c>
      <c r="B82" s="32">
        <f>Справочник!$B$12</f>
        <v/>
      </c>
      <c r="C82" s="31" t="n"/>
      <c r="D82" s="31" t="n"/>
      <c r="E82" s="31">
        <f>Справочник!$E$12</f>
        <v/>
      </c>
      <c r="F82" s="33">
        <f>G81</f>
        <v/>
      </c>
      <c r="G82" s="33">
        <f>F82+E82</f>
        <v/>
      </c>
      <c r="H82" s="31" t="n"/>
      <c r="I82" s="31" t="n"/>
      <c r="J82" s="31" t="n"/>
      <c r="K82" s="31" t="n"/>
      <c r="L82" s="31" t="n"/>
      <c r="M82" s="31" t="n"/>
      <c r="N82" s="31" t="n"/>
    </row>
    <row r="83" outlineLevel="1" ht="24" customHeight="1">
      <c r="A83" s="11" t="n">
        <v>8</v>
      </c>
      <c r="B83" s="12">
        <f>Справочник!$B$13</f>
        <v/>
      </c>
      <c r="C83" s="11" t="n"/>
      <c r="D83" s="11" t="n"/>
      <c r="E83" s="11">
        <f>Справочник!$E$13</f>
        <v/>
      </c>
      <c r="F83" s="34">
        <f>G82</f>
        <v/>
      </c>
      <c r="G83" s="34">
        <f>F83+E83</f>
        <v/>
      </c>
      <c r="H83" s="11" t="n"/>
      <c r="I83" s="11" t="n"/>
      <c r="J83" s="11" t="n"/>
      <c r="K83" s="11" t="n"/>
      <c r="L83" s="11" t="n"/>
      <c r="M83" s="11" t="n"/>
      <c r="N83" s="11" t="n"/>
    </row>
    <row r="85" ht="30" customHeight="1">
      <c r="A85" s="25" t="n">
        <v>9</v>
      </c>
      <c r="B85" s="26" t="inlineStr">
        <is>
          <t>Тех.оснастка (ОК-426)</t>
        </is>
      </c>
      <c r="C85" s="25">
        <f>Справочник!$C$41</f>
        <v/>
      </c>
      <c r="D85" s="25">
        <f>Справочник!$F$41</f>
        <v/>
      </c>
      <c r="E85" s="25">
        <f>SUM(E86:E93)</f>
        <v/>
      </c>
      <c r="F85" s="27" t="inlineStr">
        <is>
          <t>Этап крепления: Направление ОК-426</t>
        </is>
      </c>
      <c r="G85" s="25" t="n"/>
      <c r="H85" s="28">
        <f>Справочник!$E$18</f>
        <v/>
      </c>
      <c r="I85" s="28">
        <f>H85-E85</f>
        <v/>
      </c>
      <c r="J85" s="29" t="n">
        <v>46285</v>
      </c>
      <c r="K85" s="28">
        <f>G93</f>
        <v/>
      </c>
      <c r="L85" s="25">
        <f>H85-K85</f>
        <v/>
      </c>
      <c r="M85" s="25">
        <f>IF(L85&lt;0,"СРЫВ ГРАФИКА",IF(L85&lt;14,"РИСК","В ГРАФИКЕ"))</f>
        <v/>
      </c>
      <c r="N85" s="30" t="inlineStr">
        <is>
          <t>СРЫВ 12 сут. Мероприятие: закупка складской позиции у дистрибьютора (-25 сут) либо авиадоставка Владивосток — Петропавловск-Камчатский (-7 сут, малый вес/объем).</t>
        </is>
      </c>
    </row>
    <row r="86" outlineLevel="1" ht="24" customHeight="1">
      <c r="A86" s="31" t="n">
        <v>1</v>
      </c>
      <c r="B86" s="32">
        <f>Справочник!$B$6</f>
        <v/>
      </c>
      <c r="C86" s="31" t="n"/>
      <c r="D86" s="31" t="n"/>
      <c r="E86" s="31">
        <f>Справочник!$F$6</f>
        <v/>
      </c>
      <c r="F86" s="33">
        <f>J85</f>
        <v/>
      </c>
      <c r="G86" s="33">
        <f>F86+E86</f>
        <v/>
      </c>
      <c r="H86" s="31" t="n"/>
      <c r="I86" s="31" t="n"/>
      <c r="J86" s="31" t="n"/>
      <c r="K86" s="31" t="n"/>
      <c r="L86" s="31" t="n"/>
      <c r="M86" s="31" t="n"/>
      <c r="N86" s="31" t="n"/>
    </row>
    <row r="87" outlineLevel="1" ht="24" customHeight="1">
      <c r="A87" s="11" t="n">
        <v>2</v>
      </c>
      <c r="B87" s="12">
        <f>Справочник!$B$7</f>
        <v/>
      </c>
      <c r="C87" s="11" t="n"/>
      <c r="D87" s="11" t="n"/>
      <c r="E87" s="11">
        <f>Справочник!$F$7</f>
        <v/>
      </c>
      <c r="F87" s="34">
        <f>G86</f>
        <v/>
      </c>
      <c r="G87" s="34">
        <f>F87+E87</f>
        <v/>
      </c>
      <c r="H87" s="11" t="n"/>
      <c r="I87" s="11" t="n"/>
      <c r="J87" s="11" t="n"/>
      <c r="K87" s="11" t="n"/>
      <c r="L87" s="11" t="n"/>
      <c r="M87" s="11" t="n"/>
      <c r="N87" s="11" t="n"/>
    </row>
    <row r="88" outlineLevel="1" ht="24" customHeight="1">
      <c r="A88" s="31" t="n">
        <v>3</v>
      </c>
      <c r="B88" s="32">
        <f>Справочник!$B$8</f>
        <v/>
      </c>
      <c r="C88" s="31" t="n"/>
      <c r="D88" s="31" t="n"/>
      <c r="E88" s="31">
        <f>Справочник!$F$8</f>
        <v/>
      </c>
      <c r="F88" s="33">
        <f>G87</f>
        <v/>
      </c>
      <c r="G88" s="33">
        <f>F88+E88</f>
        <v/>
      </c>
      <c r="H88" s="31" t="n"/>
      <c r="I88" s="31" t="n"/>
      <c r="J88" s="31" t="n"/>
      <c r="K88" s="31" t="n"/>
      <c r="L88" s="31" t="n"/>
      <c r="M88" s="31" t="n"/>
      <c r="N88" s="31" t="n"/>
    </row>
    <row r="89" outlineLevel="1" ht="24" customHeight="1">
      <c r="A89" s="11" t="n">
        <v>4</v>
      </c>
      <c r="B89" s="12">
        <f>Справочник!$B$9</f>
        <v/>
      </c>
      <c r="C89" s="11" t="n"/>
      <c r="D89" s="11" t="n"/>
      <c r="E89" s="11">
        <f>Справочник!$F$9</f>
        <v/>
      </c>
      <c r="F89" s="34">
        <f>G88</f>
        <v/>
      </c>
      <c r="G89" s="34">
        <f>F89+E89</f>
        <v/>
      </c>
      <c r="H89" s="11" t="n"/>
      <c r="I89" s="11" t="n"/>
      <c r="J89" s="11" t="n"/>
      <c r="K89" s="11" t="n"/>
      <c r="L89" s="11" t="n"/>
      <c r="M89" s="11" t="n"/>
      <c r="N89" s="11" t="n"/>
    </row>
    <row r="90" outlineLevel="1" ht="24" customHeight="1">
      <c r="A90" s="31" t="n">
        <v>5</v>
      </c>
      <c r="B90" s="32">
        <f>Справочник!$B$10</f>
        <v/>
      </c>
      <c r="C90" s="31" t="n"/>
      <c r="D90" s="31" t="n"/>
      <c r="E90" s="31">
        <f>Справочник!$F$10</f>
        <v/>
      </c>
      <c r="F90" s="33">
        <f>G89</f>
        <v/>
      </c>
      <c r="G90" s="33">
        <f>F90+E90</f>
        <v/>
      </c>
      <c r="H90" s="31" t="n"/>
      <c r="I90" s="31" t="n"/>
      <c r="J90" s="31" t="n"/>
      <c r="K90" s="31" t="n"/>
      <c r="L90" s="31" t="n"/>
      <c r="M90" s="31" t="n"/>
      <c r="N90" s="31" t="n"/>
    </row>
    <row r="91" outlineLevel="1" ht="24" customHeight="1">
      <c r="A91" s="11" t="n">
        <v>6</v>
      </c>
      <c r="B91" s="12">
        <f>Справочник!$B$11</f>
        <v/>
      </c>
      <c r="C91" s="11" t="n"/>
      <c r="D91" s="11" t="n"/>
      <c r="E91" s="11">
        <f>Справочник!$F$11</f>
        <v/>
      </c>
      <c r="F91" s="34">
        <f>G90</f>
        <v/>
      </c>
      <c r="G91" s="34">
        <f>F91+E91</f>
        <v/>
      </c>
      <c r="H91" s="11" t="n"/>
      <c r="I91" s="11" t="n"/>
      <c r="J91" s="11" t="n"/>
      <c r="K91" s="11" t="n"/>
      <c r="L91" s="11" t="n"/>
      <c r="M91" s="11" t="n"/>
      <c r="N91" s="11" t="n"/>
    </row>
    <row r="92" outlineLevel="1" ht="24" customHeight="1">
      <c r="A92" s="31" t="n">
        <v>7</v>
      </c>
      <c r="B92" s="32">
        <f>Справочник!$B$12</f>
        <v/>
      </c>
      <c r="C92" s="31" t="n"/>
      <c r="D92" s="31" t="n"/>
      <c r="E92" s="31">
        <f>Справочник!$F$12</f>
        <v/>
      </c>
      <c r="F92" s="33">
        <f>G91</f>
        <v/>
      </c>
      <c r="G92" s="33">
        <f>F92+E92</f>
        <v/>
      </c>
      <c r="H92" s="31" t="n"/>
      <c r="I92" s="31" t="n"/>
      <c r="J92" s="31" t="n"/>
      <c r="K92" s="31" t="n"/>
      <c r="L92" s="31" t="n"/>
      <c r="M92" s="31" t="n"/>
      <c r="N92" s="31" t="n"/>
    </row>
    <row r="93" outlineLevel="1" ht="24" customHeight="1">
      <c r="A93" s="11" t="n">
        <v>8</v>
      </c>
      <c r="B93" s="12">
        <f>Справочник!$B$13</f>
        <v/>
      </c>
      <c r="C93" s="11" t="n"/>
      <c r="D93" s="11" t="n"/>
      <c r="E93" s="11">
        <f>Справочник!$F$13</f>
        <v/>
      </c>
      <c r="F93" s="34">
        <f>G92</f>
        <v/>
      </c>
      <c r="G93" s="34">
        <f>F93+E93</f>
        <v/>
      </c>
      <c r="H93" s="11" t="n"/>
      <c r="I93" s="11" t="n"/>
      <c r="J93" s="11" t="n"/>
      <c r="K93" s="11" t="n"/>
      <c r="L93" s="11" t="n"/>
      <c r="M93" s="11" t="n"/>
      <c r="N93" s="11" t="n"/>
    </row>
    <row r="95" ht="30" customHeight="1">
      <c r="A95" s="25" t="n">
        <v>10</v>
      </c>
      <c r="B95" s="26" t="inlineStr">
        <is>
          <t>Тех.оснастка (ОК-324)</t>
        </is>
      </c>
      <c r="C95" s="25">
        <f>Справочник!$C$42</f>
        <v/>
      </c>
      <c r="D95" s="25">
        <f>Справочник!$F$42</f>
        <v/>
      </c>
      <c r="E95" s="25">
        <f>SUM(E96:E103)</f>
        <v/>
      </c>
      <c r="F95" s="27" t="inlineStr">
        <is>
          <t>Этап крепления: Кондуктор ОК-324</t>
        </is>
      </c>
      <c r="G95" s="25" t="n"/>
      <c r="H95" s="28">
        <f>Справочник!$E$19</f>
        <v/>
      </c>
      <c r="I95" s="28">
        <f>H95-E95</f>
        <v/>
      </c>
      <c r="J95" s="29" t="n">
        <v>46285</v>
      </c>
      <c r="K95" s="28">
        <f>G103</f>
        <v/>
      </c>
      <c r="L95" s="25">
        <f>H95-K95</f>
        <v/>
      </c>
      <c r="M95" s="25">
        <f>IF(L95&lt;0,"СРЫВ ГРАФИКА",IF(L95&lt;14,"РИСК","В ГРАФИКЕ"))</f>
        <v/>
      </c>
      <c r="N95" s="30" t="inlineStr">
        <is>
          <t>Запас 3 сут — ниже норматива 14 сут. Заказ разместить первым приоритетом, взять на еженедельный контроль.</t>
        </is>
      </c>
    </row>
    <row r="96" outlineLevel="1" ht="24" customHeight="1">
      <c r="A96" s="31" t="n">
        <v>1</v>
      </c>
      <c r="B96" s="32">
        <f>Справочник!$B$6</f>
        <v/>
      </c>
      <c r="C96" s="31" t="n"/>
      <c r="D96" s="31" t="n"/>
      <c r="E96" s="31">
        <f>Справочник!$F$6</f>
        <v/>
      </c>
      <c r="F96" s="33">
        <f>J95</f>
        <v/>
      </c>
      <c r="G96" s="33">
        <f>F96+E96</f>
        <v/>
      </c>
      <c r="H96" s="31" t="n"/>
      <c r="I96" s="31" t="n"/>
      <c r="J96" s="31" t="n"/>
      <c r="K96" s="31" t="n"/>
      <c r="L96" s="31" t="n"/>
      <c r="M96" s="31" t="n"/>
      <c r="N96" s="31" t="n"/>
    </row>
    <row r="97" outlineLevel="1" ht="24" customHeight="1">
      <c r="A97" s="11" t="n">
        <v>2</v>
      </c>
      <c r="B97" s="12">
        <f>Справочник!$B$7</f>
        <v/>
      </c>
      <c r="C97" s="11" t="n"/>
      <c r="D97" s="11" t="n"/>
      <c r="E97" s="11">
        <f>Справочник!$F$7</f>
        <v/>
      </c>
      <c r="F97" s="34">
        <f>G96</f>
        <v/>
      </c>
      <c r="G97" s="34">
        <f>F97+E97</f>
        <v/>
      </c>
      <c r="H97" s="11" t="n"/>
      <c r="I97" s="11" t="n"/>
      <c r="J97" s="11" t="n"/>
      <c r="K97" s="11" t="n"/>
      <c r="L97" s="11" t="n"/>
      <c r="M97" s="11" t="n"/>
      <c r="N97" s="11" t="n"/>
    </row>
    <row r="98" outlineLevel="1" ht="24" customHeight="1">
      <c r="A98" s="31" t="n">
        <v>3</v>
      </c>
      <c r="B98" s="32">
        <f>Справочник!$B$8</f>
        <v/>
      </c>
      <c r="C98" s="31" t="n"/>
      <c r="D98" s="31" t="n"/>
      <c r="E98" s="31">
        <f>Справочник!$F$8</f>
        <v/>
      </c>
      <c r="F98" s="33">
        <f>G97</f>
        <v/>
      </c>
      <c r="G98" s="33">
        <f>F98+E98</f>
        <v/>
      </c>
      <c r="H98" s="31" t="n"/>
      <c r="I98" s="31" t="n"/>
      <c r="J98" s="31" t="n"/>
      <c r="K98" s="31" t="n"/>
      <c r="L98" s="31" t="n"/>
      <c r="M98" s="31" t="n"/>
      <c r="N98" s="31" t="n"/>
    </row>
    <row r="99" outlineLevel="1" ht="24" customHeight="1">
      <c r="A99" s="11" t="n">
        <v>4</v>
      </c>
      <c r="B99" s="12">
        <f>Справочник!$B$9</f>
        <v/>
      </c>
      <c r="C99" s="11" t="n"/>
      <c r="D99" s="11" t="n"/>
      <c r="E99" s="11">
        <f>Справочник!$F$9</f>
        <v/>
      </c>
      <c r="F99" s="34">
        <f>G98</f>
        <v/>
      </c>
      <c r="G99" s="34">
        <f>F99+E99</f>
        <v/>
      </c>
      <c r="H99" s="11" t="n"/>
      <c r="I99" s="11" t="n"/>
      <c r="J99" s="11" t="n"/>
      <c r="K99" s="11" t="n"/>
      <c r="L99" s="11" t="n"/>
      <c r="M99" s="11" t="n"/>
      <c r="N99" s="11" t="n"/>
    </row>
    <row r="100" outlineLevel="1" ht="24" customHeight="1">
      <c r="A100" s="31" t="n">
        <v>5</v>
      </c>
      <c r="B100" s="32">
        <f>Справочник!$B$10</f>
        <v/>
      </c>
      <c r="C100" s="31" t="n"/>
      <c r="D100" s="31" t="n"/>
      <c r="E100" s="31">
        <f>Справочник!$F$10</f>
        <v/>
      </c>
      <c r="F100" s="33">
        <f>G99</f>
        <v/>
      </c>
      <c r="G100" s="33">
        <f>F100+E100</f>
        <v/>
      </c>
      <c r="H100" s="31" t="n"/>
      <c r="I100" s="31" t="n"/>
      <c r="J100" s="31" t="n"/>
      <c r="K100" s="31" t="n"/>
      <c r="L100" s="31" t="n"/>
      <c r="M100" s="31" t="n"/>
      <c r="N100" s="31" t="n"/>
    </row>
    <row r="101" outlineLevel="1" ht="24" customHeight="1">
      <c r="A101" s="11" t="n">
        <v>6</v>
      </c>
      <c r="B101" s="12">
        <f>Справочник!$B$11</f>
        <v/>
      </c>
      <c r="C101" s="11" t="n"/>
      <c r="D101" s="11" t="n"/>
      <c r="E101" s="11">
        <f>Справочник!$F$11</f>
        <v/>
      </c>
      <c r="F101" s="34">
        <f>G100</f>
        <v/>
      </c>
      <c r="G101" s="34">
        <f>F101+E101</f>
        <v/>
      </c>
      <c r="H101" s="11" t="n"/>
      <c r="I101" s="11" t="n"/>
      <c r="J101" s="11" t="n"/>
      <c r="K101" s="11" t="n"/>
      <c r="L101" s="11" t="n"/>
      <c r="M101" s="11" t="n"/>
      <c r="N101" s="11" t="n"/>
    </row>
    <row r="102" outlineLevel="1" ht="24" customHeight="1">
      <c r="A102" s="31" t="n">
        <v>7</v>
      </c>
      <c r="B102" s="32">
        <f>Справочник!$B$12</f>
        <v/>
      </c>
      <c r="C102" s="31" t="n"/>
      <c r="D102" s="31" t="n"/>
      <c r="E102" s="31">
        <f>Справочник!$F$12</f>
        <v/>
      </c>
      <c r="F102" s="33">
        <f>G101</f>
        <v/>
      </c>
      <c r="G102" s="33">
        <f>F102+E102</f>
        <v/>
      </c>
      <c r="H102" s="31" t="n"/>
      <c r="I102" s="31" t="n"/>
      <c r="J102" s="31" t="n"/>
      <c r="K102" s="31" t="n"/>
      <c r="L102" s="31" t="n"/>
      <c r="M102" s="31" t="n"/>
      <c r="N102" s="31" t="n"/>
    </row>
    <row r="103" outlineLevel="1" ht="24" customHeight="1">
      <c r="A103" s="11" t="n">
        <v>8</v>
      </c>
      <c r="B103" s="12">
        <f>Справочник!$B$13</f>
        <v/>
      </c>
      <c r="C103" s="11" t="n"/>
      <c r="D103" s="11" t="n"/>
      <c r="E103" s="11">
        <f>Справочник!$F$13</f>
        <v/>
      </c>
      <c r="F103" s="34">
        <f>G102</f>
        <v/>
      </c>
      <c r="G103" s="34">
        <f>F103+E103</f>
        <v/>
      </c>
      <c r="H103" s="11" t="n"/>
      <c r="I103" s="11" t="n"/>
      <c r="J103" s="11" t="n"/>
      <c r="K103" s="11" t="n"/>
      <c r="L103" s="11" t="n"/>
      <c r="M103" s="11" t="n"/>
      <c r="N103" s="11" t="n"/>
    </row>
    <row r="105" ht="30" customHeight="1">
      <c r="A105" s="25" t="n">
        <v>11</v>
      </c>
      <c r="B105" s="26" t="inlineStr">
        <is>
          <t>Тех.оснастка (ОК-245)</t>
        </is>
      </c>
      <c r="C105" s="25">
        <f>Справочник!$C$43</f>
        <v/>
      </c>
      <c r="D105" s="25">
        <f>Справочник!$F$43</f>
        <v/>
      </c>
      <c r="E105" s="25">
        <f>SUM(E106:E113)</f>
        <v/>
      </c>
      <c r="F105" s="27" t="inlineStr">
        <is>
          <t>Этап крепления: Экспл. колонна ОК-245</t>
        </is>
      </c>
      <c r="G105" s="25" t="n"/>
      <c r="H105" s="28">
        <f>Справочник!$E$20</f>
        <v/>
      </c>
      <c r="I105" s="28">
        <f>H105-E105</f>
        <v/>
      </c>
      <c r="J105" s="29" t="n">
        <v>46305</v>
      </c>
      <c r="K105" s="28">
        <f>G113</f>
        <v/>
      </c>
      <c r="L105" s="25">
        <f>H105-K105</f>
        <v/>
      </c>
      <c r="M105" s="25">
        <f>IF(L105&lt;0,"СРЫВ ГРАФИКА",IF(L105&lt;14,"РИСК","В ГРАФИКЕ"))</f>
        <v/>
      </c>
      <c r="N105" s="30" t="inlineStr"/>
    </row>
    <row r="106" outlineLevel="1" ht="24" customHeight="1">
      <c r="A106" s="31" t="n">
        <v>1</v>
      </c>
      <c r="B106" s="32">
        <f>Справочник!$B$6</f>
        <v/>
      </c>
      <c r="C106" s="31" t="n"/>
      <c r="D106" s="31" t="n"/>
      <c r="E106" s="31">
        <f>Справочник!$F$6</f>
        <v/>
      </c>
      <c r="F106" s="33">
        <f>J105</f>
        <v/>
      </c>
      <c r="G106" s="33">
        <f>F106+E106</f>
        <v/>
      </c>
      <c r="H106" s="31" t="n"/>
      <c r="I106" s="31" t="n"/>
      <c r="J106" s="31" t="n"/>
      <c r="K106" s="31" t="n"/>
      <c r="L106" s="31" t="n"/>
      <c r="M106" s="31" t="n"/>
      <c r="N106" s="31" t="n"/>
    </row>
    <row r="107" outlineLevel="1" ht="24" customHeight="1">
      <c r="A107" s="11" t="n">
        <v>2</v>
      </c>
      <c r="B107" s="12">
        <f>Справочник!$B$7</f>
        <v/>
      </c>
      <c r="C107" s="11" t="n"/>
      <c r="D107" s="11" t="n"/>
      <c r="E107" s="11">
        <f>Справочник!$F$7</f>
        <v/>
      </c>
      <c r="F107" s="34">
        <f>G106</f>
        <v/>
      </c>
      <c r="G107" s="34">
        <f>F107+E107</f>
        <v/>
      </c>
      <c r="H107" s="11" t="n"/>
      <c r="I107" s="11" t="n"/>
      <c r="J107" s="11" t="n"/>
      <c r="K107" s="11" t="n"/>
      <c r="L107" s="11" t="n"/>
      <c r="M107" s="11" t="n"/>
      <c r="N107" s="11" t="n"/>
    </row>
    <row r="108" outlineLevel="1" ht="24" customHeight="1">
      <c r="A108" s="31" t="n">
        <v>3</v>
      </c>
      <c r="B108" s="32">
        <f>Справочник!$B$8</f>
        <v/>
      </c>
      <c r="C108" s="31" t="n"/>
      <c r="D108" s="31" t="n"/>
      <c r="E108" s="31">
        <f>Справочник!$F$8</f>
        <v/>
      </c>
      <c r="F108" s="33">
        <f>G107</f>
        <v/>
      </c>
      <c r="G108" s="33">
        <f>F108+E108</f>
        <v/>
      </c>
      <c r="H108" s="31" t="n"/>
      <c r="I108" s="31" t="n"/>
      <c r="J108" s="31" t="n"/>
      <c r="K108" s="31" t="n"/>
      <c r="L108" s="31" t="n"/>
      <c r="M108" s="31" t="n"/>
      <c r="N108" s="31" t="n"/>
    </row>
    <row r="109" outlineLevel="1" ht="24" customHeight="1">
      <c r="A109" s="11" t="n">
        <v>4</v>
      </c>
      <c r="B109" s="12">
        <f>Справочник!$B$9</f>
        <v/>
      </c>
      <c r="C109" s="11" t="n"/>
      <c r="D109" s="11" t="n"/>
      <c r="E109" s="11">
        <f>Справочник!$F$9</f>
        <v/>
      </c>
      <c r="F109" s="34">
        <f>G108</f>
        <v/>
      </c>
      <c r="G109" s="34">
        <f>F109+E109</f>
        <v/>
      </c>
      <c r="H109" s="11" t="n"/>
      <c r="I109" s="11" t="n"/>
      <c r="J109" s="11" t="n"/>
      <c r="K109" s="11" t="n"/>
      <c r="L109" s="11" t="n"/>
      <c r="M109" s="11" t="n"/>
      <c r="N109" s="11" t="n"/>
    </row>
    <row r="110" outlineLevel="1" ht="24" customHeight="1">
      <c r="A110" s="31" t="n">
        <v>5</v>
      </c>
      <c r="B110" s="32">
        <f>Справочник!$B$10</f>
        <v/>
      </c>
      <c r="C110" s="31" t="n"/>
      <c r="D110" s="31" t="n"/>
      <c r="E110" s="31">
        <f>Справочник!$F$10</f>
        <v/>
      </c>
      <c r="F110" s="33">
        <f>G109</f>
        <v/>
      </c>
      <c r="G110" s="33">
        <f>F110+E110</f>
        <v/>
      </c>
      <c r="H110" s="31" t="n"/>
      <c r="I110" s="31" t="n"/>
      <c r="J110" s="31" t="n"/>
      <c r="K110" s="31" t="n"/>
      <c r="L110" s="31" t="n"/>
      <c r="M110" s="31" t="n"/>
      <c r="N110" s="31" t="n"/>
    </row>
    <row r="111" outlineLevel="1" ht="24" customHeight="1">
      <c r="A111" s="11" t="n">
        <v>6</v>
      </c>
      <c r="B111" s="12">
        <f>Справочник!$B$11</f>
        <v/>
      </c>
      <c r="C111" s="11" t="n"/>
      <c r="D111" s="11" t="n"/>
      <c r="E111" s="11">
        <f>Справочник!$F$11</f>
        <v/>
      </c>
      <c r="F111" s="34">
        <f>G110</f>
        <v/>
      </c>
      <c r="G111" s="34">
        <f>F111+E111</f>
        <v/>
      </c>
      <c r="H111" s="11" t="n"/>
      <c r="I111" s="11" t="n"/>
      <c r="J111" s="11" t="n"/>
      <c r="K111" s="11" t="n"/>
      <c r="L111" s="11" t="n"/>
      <c r="M111" s="11" t="n"/>
      <c r="N111" s="11" t="n"/>
    </row>
    <row r="112" outlineLevel="1" ht="24" customHeight="1">
      <c r="A112" s="31" t="n">
        <v>7</v>
      </c>
      <c r="B112" s="32">
        <f>Справочник!$B$12</f>
        <v/>
      </c>
      <c r="C112" s="31" t="n"/>
      <c r="D112" s="31" t="n"/>
      <c r="E112" s="31">
        <f>Справочник!$F$12</f>
        <v/>
      </c>
      <c r="F112" s="33">
        <f>G111</f>
        <v/>
      </c>
      <c r="G112" s="33">
        <f>F112+E112</f>
        <v/>
      </c>
      <c r="H112" s="31" t="n"/>
      <c r="I112" s="31" t="n"/>
      <c r="J112" s="31" t="n"/>
      <c r="K112" s="31" t="n"/>
      <c r="L112" s="31" t="n"/>
      <c r="M112" s="31" t="n"/>
      <c r="N112" s="31" t="n"/>
    </row>
    <row r="113" outlineLevel="1" ht="24" customHeight="1">
      <c r="A113" s="11" t="n">
        <v>8</v>
      </c>
      <c r="B113" s="12">
        <f>Справочник!$B$13</f>
        <v/>
      </c>
      <c r="C113" s="11" t="n"/>
      <c r="D113" s="11" t="n"/>
      <c r="E113" s="11">
        <f>Справочник!$F$13</f>
        <v/>
      </c>
      <c r="F113" s="34">
        <f>G112</f>
        <v/>
      </c>
      <c r="G113" s="34">
        <f>F113+E113</f>
        <v/>
      </c>
      <c r="H113" s="11" t="n"/>
      <c r="I113" s="11" t="n"/>
      <c r="J113" s="11" t="n"/>
      <c r="K113" s="11" t="n"/>
      <c r="L113" s="11" t="n"/>
      <c r="M113" s="11" t="n"/>
      <c r="N113" s="11" t="n"/>
    </row>
    <row r="115" ht="30" customHeight="1">
      <c r="A115" s="25" t="n">
        <v>12</v>
      </c>
      <c r="B115" s="26" t="inlineStr">
        <is>
          <t>Тех.оснастка (ОК-168)</t>
        </is>
      </c>
      <c r="C115" s="25">
        <f>Справочник!$C$44</f>
        <v/>
      </c>
      <c r="D115" s="25">
        <f>Справочник!$F$44</f>
        <v/>
      </c>
      <c r="E115" s="25">
        <f>SUM(E116:E123)</f>
        <v/>
      </c>
      <c r="F115" s="27" t="inlineStr">
        <is>
          <t>Этап крепления: Хвостовик ОК-168</t>
        </is>
      </c>
      <c r="G115" s="25" t="n"/>
      <c r="H115" s="28">
        <f>Справочник!$E$21</f>
        <v/>
      </c>
      <c r="I115" s="28">
        <f>H115-E115</f>
        <v/>
      </c>
      <c r="J115" s="29" t="n">
        <v>46320</v>
      </c>
      <c r="K115" s="28">
        <f>G123</f>
        <v/>
      </c>
      <c r="L115" s="25">
        <f>H115-K115</f>
        <v/>
      </c>
      <c r="M115" s="25">
        <f>IF(L115&lt;0,"СРЫВ ГРАФИКА",IF(L115&lt;14,"РИСК","В ГРАФИКЕ"))</f>
        <v/>
      </c>
      <c r="N115" s="30" t="inlineStr"/>
    </row>
    <row r="116" outlineLevel="1" ht="24" customHeight="1">
      <c r="A116" s="31" t="n">
        <v>1</v>
      </c>
      <c r="B116" s="32">
        <f>Справочник!$B$6</f>
        <v/>
      </c>
      <c r="C116" s="31" t="n"/>
      <c r="D116" s="31" t="n"/>
      <c r="E116" s="31">
        <f>Справочник!$F$6</f>
        <v/>
      </c>
      <c r="F116" s="33">
        <f>J115</f>
        <v/>
      </c>
      <c r="G116" s="33">
        <f>F116+E116</f>
        <v/>
      </c>
      <c r="H116" s="31" t="n"/>
      <c r="I116" s="31" t="n"/>
      <c r="J116" s="31" t="n"/>
      <c r="K116" s="31" t="n"/>
      <c r="L116" s="31" t="n"/>
      <c r="M116" s="31" t="n"/>
      <c r="N116" s="31" t="n"/>
    </row>
    <row r="117" outlineLevel="1" ht="24" customHeight="1">
      <c r="A117" s="11" t="n">
        <v>2</v>
      </c>
      <c r="B117" s="12">
        <f>Справочник!$B$7</f>
        <v/>
      </c>
      <c r="C117" s="11" t="n"/>
      <c r="D117" s="11" t="n"/>
      <c r="E117" s="11">
        <f>Справочник!$F$7</f>
        <v/>
      </c>
      <c r="F117" s="34">
        <f>G116</f>
        <v/>
      </c>
      <c r="G117" s="34">
        <f>F117+E117</f>
        <v/>
      </c>
      <c r="H117" s="11" t="n"/>
      <c r="I117" s="11" t="n"/>
      <c r="J117" s="11" t="n"/>
      <c r="K117" s="11" t="n"/>
      <c r="L117" s="11" t="n"/>
      <c r="M117" s="11" t="n"/>
      <c r="N117" s="11" t="n"/>
    </row>
    <row r="118" outlineLevel="1" ht="24" customHeight="1">
      <c r="A118" s="31" t="n">
        <v>3</v>
      </c>
      <c r="B118" s="32">
        <f>Справочник!$B$8</f>
        <v/>
      </c>
      <c r="C118" s="31" t="n"/>
      <c r="D118" s="31" t="n"/>
      <c r="E118" s="31">
        <f>Справочник!$F$8</f>
        <v/>
      </c>
      <c r="F118" s="33">
        <f>G117</f>
        <v/>
      </c>
      <c r="G118" s="33">
        <f>F118+E118</f>
        <v/>
      </c>
      <c r="H118" s="31" t="n"/>
      <c r="I118" s="31" t="n"/>
      <c r="J118" s="31" t="n"/>
      <c r="K118" s="31" t="n"/>
      <c r="L118" s="31" t="n"/>
      <c r="M118" s="31" t="n"/>
      <c r="N118" s="31" t="n"/>
    </row>
    <row r="119" outlineLevel="1" ht="24" customHeight="1">
      <c r="A119" s="11" t="n">
        <v>4</v>
      </c>
      <c r="B119" s="12">
        <f>Справочник!$B$9</f>
        <v/>
      </c>
      <c r="C119" s="11" t="n"/>
      <c r="D119" s="11" t="n"/>
      <c r="E119" s="11">
        <f>Справочник!$F$9</f>
        <v/>
      </c>
      <c r="F119" s="34">
        <f>G118</f>
        <v/>
      </c>
      <c r="G119" s="34">
        <f>F119+E119</f>
        <v/>
      </c>
      <c r="H119" s="11" t="n"/>
      <c r="I119" s="11" t="n"/>
      <c r="J119" s="11" t="n"/>
      <c r="K119" s="11" t="n"/>
      <c r="L119" s="11" t="n"/>
      <c r="M119" s="11" t="n"/>
      <c r="N119" s="11" t="n"/>
    </row>
    <row r="120" outlineLevel="1" ht="24" customHeight="1">
      <c r="A120" s="31" t="n">
        <v>5</v>
      </c>
      <c r="B120" s="32">
        <f>Справочник!$B$10</f>
        <v/>
      </c>
      <c r="C120" s="31" t="n"/>
      <c r="D120" s="31" t="n"/>
      <c r="E120" s="31">
        <f>Справочник!$F$10</f>
        <v/>
      </c>
      <c r="F120" s="33">
        <f>G119</f>
        <v/>
      </c>
      <c r="G120" s="33">
        <f>F120+E120</f>
        <v/>
      </c>
      <c r="H120" s="31" t="n"/>
      <c r="I120" s="31" t="n"/>
      <c r="J120" s="31" t="n"/>
      <c r="K120" s="31" t="n"/>
      <c r="L120" s="31" t="n"/>
      <c r="M120" s="31" t="n"/>
      <c r="N120" s="31" t="n"/>
    </row>
    <row r="121" outlineLevel="1" ht="24" customHeight="1">
      <c r="A121" s="11" t="n">
        <v>6</v>
      </c>
      <c r="B121" s="12">
        <f>Справочник!$B$11</f>
        <v/>
      </c>
      <c r="C121" s="11" t="n"/>
      <c r="D121" s="11" t="n"/>
      <c r="E121" s="11">
        <f>Справочник!$F$11</f>
        <v/>
      </c>
      <c r="F121" s="34">
        <f>G120</f>
        <v/>
      </c>
      <c r="G121" s="34">
        <f>F121+E121</f>
        <v/>
      </c>
      <c r="H121" s="11" t="n"/>
      <c r="I121" s="11" t="n"/>
      <c r="J121" s="11" t="n"/>
      <c r="K121" s="11" t="n"/>
      <c r="L121" s="11" t="n"/>
      <c r="M121" s="11" t="n"/>
      <c r="N121" s="11" t="n"/>
    </row>
    <row r="122" outlineLevel="1" ht="24" customHeight="1">
      <c r="A122" s="31" t="n">
        <v>7</v>
      </c>
      <c r="B122" s="32">
        <f>Справочник!$B$12</f>
        <v/>
      </c>
      <c r="C122" s="31" t="n"/>
      <c r="D122" s="31" t="n"/>
      <c r="E122" s="31">
        <f>Справочник!$F$12</f>
        <v/>
      </c>
      <c r="F122" s="33">
        <f>G121</f>
        <v/>
      </c>
      <c r="G122" s="33">
        <f>F122+E122</f>
        <v/>
      </c>
      <c r="H122" s="31" t="n"/>
      <c r="I122" s="31" t="n"/>
      <c r="J122" s="31" t="n"/>
      <c r="K122" s="31" t="n"/>
      <c r="L122" s="31" t="n"/>
      <c r="M122" s="31" t="n"/>
      <c r="N122" s="31" t="n"/>
    </row>
    <row r="123" outlineLevel="1" ht="24" customHeight="1">
      <c r="A123" s="11" t="n">
        <v>8</v>
      </c>
      <c r="B123" s="12">
        <f>Справочник!$B$13</f>
        <v/>
      </c>
      <c r="C123" s="11" t="n"/>
      <c r="D123" s="11" t="n"/>
      <c r="E123" s="11">
        <f>Справочник!$F$13</f>
        <v/>
      </c>
      <c r="F123" s="34">
        <f>G122</f>
        <v/>
      </c>
      <c r="G123" s="34">
        <f>F123+E123</f>
        <v/>
      </c>
      <c r="H123" s="11" t="n"/>
      <c r="I123" s="11" t="n"/>
      <c r="J123" s="11" t="n"/>
      <c r="K123" s="11" t="n"/>
      <c r="L123" s="11" t="n"/>
      <c r="M123" s="11" t="n"/>
      <c r="N123" s="11" t="n"/>
    </row>
    <row r="125" ht="30" customHeight="1">
      <c r="A125" s="25" t="n">
        <v>13</v>
      </c>
      <c r="B125" s="26" t="inlineStr">
        <is>
          <t>Пакер набухающий термостойкий</t>
        </is>
      </c>
      <c r="C125" s="25">
        <f>Справочник!$C$45</f>
        <v/>
      </c>
      <c r="D125" s="25">
        <f>Справочник!$F$45</f>
        <v/>
      </c>
      <c r="E125" s="25">
        <f>SUM(E126:E133)</f>
        <v/>
      </c>
      <c r="F125" s="27" t="inlineStr">
        <is>
          <t>Этап крепления: Хвостовик ОК-168</t>
        </is>
      </c>
      <c r="G125" s="25" t="n"/>
      <c r="H125" s="28">
        <f>Справочник!$E$21</f>
        <v/>
      </c>
      <c r="I125" s="28">
        <f>H125-E125</f>
        <v/>
      </c>
      <c r="J125" s="29" t="n">
        <v>46285</v>
      </c>
      <c r="K125" s="28">
        <f>G133</f>
        <v/>
      </c>
      <c r="L125" s="25">
        <f>H125-K125</f>
        <v/>
      </c>
      <c r="M125" s="25">
        <f>IF(L125&lt;0,"СРЫВ ГРАФИКА",IF(L125&lt;14,"РИСК","В ГРАФИКЕ"))</f>
        <v/>
      </c>
      <c r="N125" s="30" t="inlineStr">
        <is>
          <t>Запас 10 сут — ниже норматива 14 сут. Заказ разместить первым приоритетом, взять на еженедельный контроль.</t>
        </is>
      </c>
    </row>
    <row r="126" outlineLevel="1" ht="24" customHeight="1">
      <c r="A126" s="31" t="n">
        <v>1</v>
      </c>
      <c r="B126" s="32">
        <f>Справочник!$B$6</f>
        <v/>
      </c>
      <c r="C126" s="31" t="n"/>
      <c r="D126" s="31" t="n"/>
      <c r="E126" s="31">
        <f>Справочник!$G$6</f>
        <v/>
      </c>
      <c r="F126" s="33">
        <f>J125</f>
        <v/>
      </c>
      <c r="G126" s="33">
        <f>F126+E126</f>
        <v/>
      </c>
      <c r="H126" s="31" t="n"/>
      <c r="I126" s="31" t="n"/>
      <c r="J126" s="31" t="n"/>
      <c r="K126" s="31" t="n"/>
      <c r="L126" s="31" t="n"/>
      <c r="M126" s="31" t="n"/>
      <c r="N126" s="31" t="n"/>
    </row>
    <row r="127" outlineLevel="1" ht="24" customHeight="1">
      <c r="A127" s="11" t="n">
        <v>2</v>
      </c>
      <c r="B127" s="12">
        <f>Справочник!$B$7</f>
        <v/>
      </c>
      <c r="C127" s="11" t="n"/>
      <c r="D127" s="11" t="n"/>
      <c r="E127" s="11">
        <f>Справочник!$G$7</f>
        <v/>
      </c>
      <c r="F127" s="34">
        <f>G126</f>
        <v/>
      </c>
      <c r="G127" s="34">
        <f>F127+E127</f>
        <v/>
      </c>
      <c r="H127" s="11" t="n"/>
      <c r="I127" s="11" t="n"/>
      <c r="J127" s="11" t="n"/>
      <c r="K127" s="11" t="n"/>
      <c r="L127" s="11" t="n"/>
      <c r="M127" s="11" t="n"/>
      <c r="N127" s="11" t="n"/>
    </row>
    <row r="128" outlineLevel="1" ht="24" customHeight="1">
      <c r="A128" s="31" t="n">
        <v>3</v>
      </c>
      <c r="B128" s="32">
        <f>Справочник!$B$8</f>
        <v/>
      </c>
      <c r="C128" s="31" t="n"/>
      <c r="D128" s="31" t="n"/>
      <c r="E128" s="31">
        <f>Справочник!$G$8</f>
        <v/>
      </c>
      <c r="F128" s="33">
        <f>G127</f>
        <v/>
      </c>
      <c r="G128" s="33">
        <f>F128+E128</f>
        <v/>
      </c>
      <c r="H128" s="31" t="n"/>
      <c r="I128" s="31" t="n"/>
      <c r="J128" s="31" t="n"/>
      <c r="K128" s="31" t="n"/>
      <c r="L128" s="31" t="n"/>
      <c r="M128" s="31" t="n"/>
      <c r="N128" s="31" t="n"/>
    </row>
    <row r="129" outlineLevel="1" ht="24" customHeight="1">
      <c r="A129" s="11" t="n">
        <v>4</v>
      </c>
      <c r="B129" s="12">
        <f>Справочник!$B$9</f>
        <v/>
      </c>
      <c r="C129" s="11" t="n"/>
      <c r="D129" s="11" t="n"/>
      <c r="E129" s="11">
        <f>Справочник!$G$9</f>
        <v/>
      </c>
      <c r="F129" s="34">
        <f>G128</f>
        <v/>
      </c>
      <c r="G129" s="34">
        <f>F129+E129</f>
        <v/>
      </c>
      <c r="H129" s="11" t="n"/>
      <c r="I129" s="11" t="n"/>
      <c r="J129" s="11" t="n"/>
      <c r="K129" s="11" t="n"/>
      <c r="L129" s="11" t="n"/>
      <c r="M129" s="11" t="n"/>
      <c r="N129" s="11" t="n"/>
    </row>
    <row r="130" outlineLevel="1" ht="24" customHeight="1">
      <c r="A130" s="31" t="n">
        <v>5</v>
      </c>
      <c r="B130" s="32">
        <f>Справочник!$B$10</f>
        <v/>
      </c>
      <c r="C130" s="31" t="n"/>
      <c r="D130" s="31" t="n"/>
      <c r="E130" s="31">
        <f>Справочник!$G$10</f>
        <v/>
      </c>
      <c r="F130" s="33">
        <f>G129</f>
        <v/>
      </c>
      <c r="G130" s="33">
        <f>F130+E130</f>
        <v/>
      </c>
      <c r="H130" s="31" t="n"/>
      <c r="I130" s="31" t="n"/>
      <c r="J130" s="31" t="n"/>
      <c r="K130" s="31" t="n"/>
      <c r="L130" s="31" t="n"/>
      <c r="M130" s="31" t="n"/>
      <c r="N130" s="31" t="n"/>
    </row>
    <row r="131" outlineLevel="1" ht="24" customHeight="1">
      <c r="A131" s="11" t="n">
        <v>6</v>
      </c>
      <c r="B131" s="12">
        <f>Справочник!$B$11</f>
        <v/>
      </c>
      <c r="C131" s="11" t="n"/>
      <c r="D131" s="11" t="n"/>
      <c r="E131" s="11">
        <f>Справочник!$G$11</f>
        <v/>
      </c>
      <c r="F131" s="34">
        <f>G130</f>
        <v/>
      </c>
      <c r="G131" s="34">
        <f>F131+E131</f>
        <v/>
      </c>
      <c r="H131" s="11" t="n"/>
      <c r="I131" s="11" t="n"/>
      <c r="J131" s="11" t="n"/>
      <c r="K131" s="11" t="n"/>
      <c r="L131" s="11" t="n"/>
      <c r="M131" s="11" t="n"/>
      <c r="N131" s="11" t="n"/>
    </row>
    <row r="132" outlineLevel="1" ht="24" customHeight="1">
      <c r="A132" s="31" t="n">
        <v>7</v>
      </c>
      <c r="B132" s="32">
        <f>Справочник!$B$12</f>
        <v/>
      </c>
      <c r="C132" s="31" t="n"/>
      <c r="D132" s="31" t="n"/>
      <c r="E132" s="31">
        <f>Справочник!$G$12</f>
        <v/>
      </c>
      <c r="F132" s="33">
        <f>G131</f>
        <v/>
      </c>
      <c r="G132" s="33">
        <f>F132+E132</f>
        <v/>
      </c>
      <c r="H132" s="31" t="n"/>
      <c r="I132" s="31" t="n"/>
      <c r="J132" s="31" t="n"/>
      <c r="K132" s="31" t="n"/>
      <c r="L132" s="31" t="n"/>
      <c r="M132" s="31" t="n"/>
      <c r="N132" s="31" t="n"/>
    </row>
    <row r="133" outlineLevel="1" ht="24" customHeight="1">
      <c r="A133" s="11" t="n">
        <v>8</v>
      </c>
      <c r="B133" s="12">
        <f>Справочник!$B$13</f>
        <v/>
      </c>
      <c r="C133" s="11" t="n"/>
      <c r="D133" s="11" t="n"/>
      <c r="E133" s="11">
        <f>Справочник!$G$13</f>
        <v/>
      </c>
      <c r="F133" s="34">
        <f>G132</f>
        <v/>
      </c>
      <c r="G133" s="34">
        <f>F133+E133</f>
        <v/>
      </c>
      <c r="H133" s="11" t="n"/>
      <c r="I133" s="11" t="n"/>
      <c r="J133" s="11" t="n"/>
      <c r="K133" s="11" t="n"/>
      <c r="L133" s="11" t="n"/>
      <c r="M133" s="11" t="n"/>
      <c r="N133" s="11" t="n"/>
    </row>
    <row r="135" ht="30" customHeight="1">
      <c r="A135" s="25" t="n">
        <v>14</v>
      </c>
      <c r="B135" s="26" t="inlineStr">
        <is>
          <t>Разъединительный переводник 245/168</t>
        </is>
      </c>
      <c r="C135" s="25">
        <f>Справочник!$C$46</f>
        <v/>
      </c>
      <c r="D135" s="25">
        <f>Справочник!$F$46</f>
        <v/>
      </c>
      <c r="E135" s="25">
        <f>SUM(E136:E143)</f>
        <v/>
      </c>
      <c r="F135" s="27" t="inlineStr">
        <is>
          <t>Этап крепления: Хвостовик ОК-168</t>
        </is>
      </c>
      <c r="G135" s="25" t="n"/>
      <c r="H135" s="28">
        <f>Справочник!$E$21</f>
        <v/>
      </c>
      <c r="I135" s="28">
        <f>H135-E135</f>
        <v/>
      </c>
      <c r="J135" s="29" t="n">
        <v>46285</v>
      </c>
      <c r="K135" s="28">
        <f>G143</f>
        <v/>
      </c>
      <c r="L135" s="25">
        <f>H135-K135</f>
        <v/>
      </c>
      <c r="M135" s="25">
        <f>IF(L135&lt;0,"СРЫВ ГРАФИКА",IF(L135&lt;14,"РИСК","В ГРАФИКЕ"))</f>
        <v/>
      </c>
      <c r="N135" s="30" t="inlineStr">
        <is>
          <t>Запас 10 сут — ниже норматива 14 сут. Заказ разместить первым приоритетом, взять на еженедельный контроль.</t>
        </is>
      </c>
    </row>
    <row r="136" outlineLevel="1" ht="24" customHeight="1">
      <c r="A136" s="31" t="n">
        <v>1</v>
      </c>
      <c r="B136" s="32">
        <f>Справочник!$B$6</f>
        <v/>
      </c>
      <c r="C136" s="31" t="n"/>
      <c r="D136" s="31" t="n"/>
      <c r="E136" s="31">
        <f>Справочник!$G$6</f>
        <v/>
      </c>
      <c r="F136" s="33">
        <f>J135</f>
        <v/>
      </c>
      <c r="G136" s="33">
        <f>F136+E136</f>
        <v/>
      </c>
      <c r="H136" s="31" t="n"/>
      <c r="I136" s="31" t="n"/>
      <c r="J136" s="31" t="n"/>
      <c r="K136" s="31" t="n"/>
      <c r="L136" s="31" t="n"/>
      <c r="M136" s="31" t="n"/>
      <c r="N136" s="31" t="n"/>
    </row>
    <row r="137" outlineLevel="1" ht="24" customHeight="1">
      <c r="A137" s="11" t="n">
        <v>2</v>
      </c>
      <c r="B137" s="12">
        <f>Справочник!$B$7</f>
        <v/>
      </c>
      <c r="C137" s="11" t="n"/>
      <c r="D137" s="11" t="n"/>
      <c r="E137" s="11">
        <f>Справочник!$G$7</f>
        <v/>
      </c>
      <c r="F137" s="34">
        <f>G136</f>
        <v/>
      </c>
      <c r="G137" s="34">
        <f>F137+E137</f>
        <v/>
      </c>
      <c r="H137" s="11" t="n"/>
      <c r="I137" s="11" t="n"/>
      <c r="J137" s="11" t="n"/>
      <c r="K137" s="11" t="n"/>
      <c r="L137" s="11" t="n"/>
      <c r="M137" s="11" t="n"/>
      <c r="N137" s="11" t="n"/>
    </row>
    <row r="138" outlineLevel="1" ht="24" customHeight="1">
      <c r="A138" s="31" t="n">
        <v>3</v>
      </c>
      <c r="B138" s="32">
        <f>Справочник!$B$8</f>
        <v/>
      </c>
      <c r="C138" s="31" t="n"/>
      <c r="D138" s="31" t="n"/>
      <c r="E138" s="31">
        <f>Справочник!$G$8</f>
        <v/>
      </c>
      <c r="F138" s="33">
        <f>G137</f>
        <v/>
      </c>
      <c r="G138" s="33">
        <f>F138+E138</f>
        <v/>
      </c>
      <c r="H138" s="31" t="n"/>
      <c r="I138" s="31" t="n"/>
      <c r="J138" s="31" t="n"/>
      <c r="K138" s="31" t="n"/>
      <c r="L138" s="31" t="n"/>
      <c r="M138" s="31" t="n"/>
      <c r="N138" s="31" t="n"/>
    </row>
    <row r="139" outlineLevel="1" ht="24" customHeight="1">
      <c r="A139" s="11" t="n">
        <v>4</v>
      </c>
      <c r="B139" s="12">
        <f>Справочник!$B$9</f>
        <v/>
      </c>
      <c r="C139" s="11" t="n"/>
      <c r="D139" s="11" t="n"/>
      <c r="E139" s="11">
        <f>Справочник!$G$9</f>
        <v/>
      </c>
      <c r="F139" s="34">
        <f>G138</f>
        <v/>
      </c>
      <c r="G139" s="34">
        <f>F139+E139</f>
        <v/>
      </c>
      <c r="H139" s="11" t="n"/>
      <c r="I139" s="11" t="n"/>
      <c r="J139" s="11" t="n"/>
      <c r="K139" s="11" t="n"/>
      <c r="L139" s="11" t="n"/>
      <c r="M139" s="11" t="n"/>
      <c r="N139" s="11" t="n"/>
    </row>
    <row r="140" outlineLevel="1" ht="24" customHeight="1">
      <c r="A140" s="31" t="n">
        <v>5</v>
      </c>
      <c r="B140" s="32">
        <f>Справочник!$B$10</f>
        <v/>
      </c>
      <c r="C140" s="31" t="n"/>
      <c r="D140" s="31" t="n"/>
      <c r="E140" s="31">
        <f>Справочник!$G$10</f>
        <v/>
      </c>
      <c r="F140" s="33">
        <f>G139</f>
        <v/>
      </c>
      <c r="G140" s="33">
        <f>F140+E140</f>
        <v/>
      </c>
      <c r="H140" s="31" t="n"/>
      <c r="I140" s="31" t="n"/>
      <c r="J140" s="31" t="n"/>
      <c r="K140" s="31" t="n"/>
      <c r="L140" s="31" t="n"/>
      <c r="M140" s="31" t="n"/>
      <c r="N140" s="31" t="n"/>
    </row>
    <row r="141" outlineLevel="1" ht="24" customHeight="1">
      <c r="A141" s="11" t="n">
        <v>6</v>
      </c>
      <c r="B141" s="12">
        <f>Справочник!$B$11</f>
        <v/>
      </c>
      <c r="C141" s="11" t="n"/>
      <c r="D141" s="11" t="n"/>
      <c r="E141" s="11">
        <f>Справочник!$G$11</f>
        <v/>
      </c>
      <c r="F141" s="34">
        <f>G140</f>
        <v/>
      </c>
      <c r="G141" s="34">
        <f>F141+E141</f>
        <v/>
      </c>
      <c r="H141" s="11" t="n"/>
      <c r="I141" s="11" t="n"/>
      <c r="J141" s="11" t="n"/>
      <c r="K141" s="11" t="n"/>
      <c r="L141" s="11" t="n"/>
      <c r="M141" s="11" t="n"/>
      <c r="N141" s="11" t="n"/>
    </row>
    <row r="142" outlineLevel="1" ht="24" customHeight="1">
      <c r="A142" s="31" t="n">
        <v>7</v>
      </c>
      <c r="B142" s="32">
        <f>Справочник!$B$12</f>
        <v/>
      </c>
      <c r="C142" s="31" t="n"/>
      <c r="D142" s="31" t="n"/>
      <c r="E142" s="31">
        <f>Справочник!$G$12</f>
        <v/>
      </c>
      <c r="F142" s="33">
        <f>G141</f>
        <v/>
      </c>
      <c r="G142" s="33">
        <f>F142+E142</f>
        <v/>
      </c>
      <c r="H142" s="31" t="n"/>
      <c r="I142" s="31" t="n"/>
      <c r="J142" s="31" t="n"/>
      <c r="K142" s="31" t="n"/>
      <c r="L142" s="31" t="n"/>
      <c r="M142" s="31" t="n"/>
      <c r="N142" s="31" t="n"/>
    </row>
    <row r="143" outlineLevel="1" ht="24" customHeight="1">
      <c r="A143" s="11" t="n">
        <v>8</v>
      </c>
      <c r="B143" s="12">
        <f>Справочник!$B$13</f>
        <v/>
      </c>
      <c r="C143" s="11" t="n"/>
      <c r="D143" s="11" t="n"/>
      <c r="E143" s="11">
        <f>Справочник!$G$13</f>
        <v/>
      </c>
      <c r="F143" s="34">
        <f>G142</f>
        <v/>
      </c>
      <c r="G143" s="34">
        <f>F143+E143</f>
        <v/>
      </c>
      <c r="H143" s="11" t="n"/>
      <c r="I143" s="11" t="n"/>
      <c r="J143" s="11" t="n"/>
      <c r="K143" s="11" t="n"/>
      <c r="L143" s="11" t="n"/>
      <c r="M143" s="11" t="n"/>
      <c r="N143" s="11" t="n"/>
    </row>
  </sheetData>
  <mergeCells count="16">
    <mergeCell ref="F75:G75"/>
    <mergeCell ref="F55:G55"/>
    <mergeCell ref="F95:G95"/>
    <mergeCell ref="F15:G15"/>
    <mergeCell ref="F125:G125"/>
    <mergeCell ref="F25:G25"/>
    <mergeCell ref="F5:G5"/>
    <mergeCell ref="A2:N2"/>
    <mergeCell ref="F65:G65"/>
    <mergeCell ref="F45:G45"/>
    <mergeCell ref="F85:G85"/>
    <mergeCell ref="F115:G115"/>
    <mergeCell ref="F135:G135"/>
    <mergeCell ref="F35:G35"/>
    <mergeCell ref="F105:G105"/>
    <mergeCell ref="A1:N1"/>
  </mergeCells>
  <conditionalFormatting sqref="L5:M143">
    <cfRule type="expression" priority="1" dxfId="0" stopIfTrue="1">
      <formula>$M5="В ГРАФИКЕ"</formula>
    </cfRule>
    <cfRule type="expression" priority="2" dxfId="1" stopIfTrue="1">
      <formula>$M5="РИСК"</formula>
    </cfRule>
    <cfRule type="expression" priority="3" dxfId="2" stopIfTrue="1">
      <formula>$M5="СРЫВ ГРАФИКА"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0" summaryRight="1"/>
    <pageSetUpPr fitToPage="1"/>
  </sheetPr>
  <dimension ref="A1:N14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8" customWidth="1" min="2" max="2"/>
    <col width="9" customWidth="1" min="3" max="3"/>
    <col width="10" customWidth="1" min="4" max="4"/>
    <col width="9" customWidth="1" min="5" max="5"/>
    <col width="12" customWidth="1" min="6" max="6"/>
    <col width="12" customWidth="1" min="7" max="7"/>
    <col width="13" customWidth="1" min="8" max="8"/>
    <col width="13" customWidth="1" min="9" max="9"/>
    <col width="14" customWidth="1" min="10" max="10"/>
    <col width="13" customWidth="1" min="11" max="11"/>
    <col width="10" customWidth="1" min="12" max="12"/>
    <col width="15" customWidth="1" min="13" max="13"/>
    <col width="52" customWidth="1" min="14" max="14"/>
  </cols>
  <sheetData>
    <row r="1">
      <c r="A1" s="1" t="inlineStr">
        <is>
          <t>ГРАФИК ЗАКУПКИ И ДОСТАВКИ МТР ДЛЯ КРЕПЛЕНИЯ СКВАЖИНЫ ЮГ-2</t>
        </is>
      </c>
    </row>
    <row r="2">
      <c r="A2" s="2" t="inlineStr">
        <is>
          <t>Дата формирования 15.09.2026. Даты потребности и длительности этапов — с листа «Справочник». Желтые ячейки (столбец J) — ввод фактической даты размещения заказа. Группировка слева сворачивает этапы.</t>
        </is>
      </c>
    </row>
    <row r="4" ht="46" customHeight="1">
      <c r="A4" s="10" t="inlineStr">
        <is>
          <t>№</t>
        </is>
      </c>
      <c r="B4" s="10" t="inlineStr">
        <is>
          <t>Наименование МТР / этапа закупки и доставки</t>
        </is>
      </c>
      <c r="C4" s="10" t="inlineStr">
        <is>
          <t>Ед. изм.</t>
        </is>
      </c>
      <c r="D4" s="10" t="inlineStr">
        <is>
          <t>Кол-во</t>
        </is>
      </c>
      <c r="E4" s="10" t="inlineStr">
        <is>
          <t>Длит., сут</t>
        </is>
      </c>
      <c r="F4" s="10" t="inlineStr">
        <is>
          <t>Начало этапа</t>
        </is>
      </c>
      <c r="G4" s="10" t="inlineStr">
        <is>
          <t>Окончание этапа</t>
        </is>
      </c>
      <c r="H4" s="10" t="inlineStr">
        <is>
          <t>ДАТА ПОТРЕБНОСТИ</t>
        </is>
      </c>
      <c r="I4" s="10" t="inlineStr">
        <is>
          <t>Требуемая дата старта</t>
        </is>
      </c>
      <c r="J4" s="10" t="inlineStr">
        <is>
          <t>Дата начала (план/факт)</t>
        </is>
      </c>
      <c r="K4" s="10" t="inlineStr">
        <is>
          <t>Прогноз поставки на скважину</t>
        </is>
      </c>
      <c r="L4" s="10" t="inlineStr">
        <is>
          <t>Запас, сут</t>
        </is>
      </c>
      <c r="M4" s="10" t="inlineStr">
        <is>
          <t>СТАТУС</t>
        </is>
      </c>
      <c r="N4" s="10" t="inlineStr">
        <is>
          <t>Примечание / компенсирующие мероприятия</t>
        </is>
      </c>
    </row>
    <row r="5" ht="30" customHeight="1">
      <c r="A5" s="25" t="n">
        <v>1</v>
      </c>
      <c r="B5" s="26" t="inlineStr">
        <is>
          <t>Цемент марки G (направление)</t>
        </is>
      </c>
      <c r="C5" s="25">
        <f>Справочник!$C$33</f>
        <v/>
      </c>
      <c r="D5" s="25">
        <f>Справочник!$G$33</f>
        <v/>
      </c>
      <c r="E5" s="25">
        <f>SUM(E6:E13)</f>
        <v/>
      </c>
      <c r="F5" s="27" t="inlineStr">
        <is>
          <t>Этап крепления: Направление ОК-426</t>
        </is>
      </c>
      <c r="G5" s="25" t="n"/>
      <c r="H5" s="28">
        <f>Справочник!$E$22</f>
        <v/>
      </c>
      <c r="I5" s="28">
        <f>H5-E5</f>
        <v/>
      </c>
      <c r="J5" s="29" t="n">
        <v>46343</v>
      </c>
      <c r="K5" s="28">
        <f>G13</f>
        <v/>
      </c>
      <c r="L5" s="25">
        <f>H5-K5</f>
        <v/>
      </c>
      <c r="M5" s="25">
        <f>IF(L5&lt;0,"СРЫВ ГРАФИКА",IF(L5&lt;14,"РИСК","В ГРАФИКЕ"))</f>
        <v/>
      </c>
      <c r="N5" s="30" t="inlineStr"/>
    </row>
    <row r="6" outlineLevel="1" ht="24" customHeight="1">
      <c r="A6" s="31" t="n">
        <v>1</v>
      </c>
      <c r="B6" s="32">
        <f>Справочник!$B$6</f>
        <v/>
      </c>
      <c r="C6" s="31" t="n"/>
      <c r="D6" s="31" t="n"/>
      <c r="E6" s="31">
        <f>Справочник!$C$6</f>
        <v/>
      </c>
      <c r="F6" s="33">
        <f>J5</f>
        <v/>
      </c>
      <c r="G6" s="33">
        <f>F6+E6</f>
        <v/>
      </c>
      <c r="H6" s="31" t="n"/>
      <c r="I6" s="31" t="n"/>
      <c r="J6" s="31" t="n"/>
      <c r="K6" s="31" t="n"/>
      <c r="L6" s="31" t="n"/>
      <c r="M6" s="31" t="n"/>
      <c r="N6" s="31" t="n"/>
    </row>
    <row r="7" outlineLevel="1" ht="24" customHeight="1">
      <c r="A7" s="11" t="n">
        <v>2</v>
      </c>
      <c r="B7" s="12">
        <f>Справочник!$B$7</f>
        <v/>
      </c>
      <c r="C7" s="11" t="n"/>
      <c r="D7" s="11" t="n"/>
      <c r="E7" s="11">
        <f>Справочник!$C$7</f>
        <v/>
      </c>
      <c r="F7" s="34">
        <f>G6</f>
        <v/>
      </c>
      <c r="G7" s="34">
        <f>F7+E7</f>
        <v/>
      </c>
      <c r="H7" s="11" t="n"/>
      <c r="I7" s="11" t="n"/>
      <c r="J7" s="11" t="n"/>
      <c r="K7" s="11" t="n"/>
      <c r="L7" s="11" t="n"/>
      <c r="M7" s="11" t="n"/>
      <c r="N7" s="11" t="n"/>
    </row>
    <row r="8" outlineLevel="1" ht="24" customHeight="1">
      <c r="A8" s="31" t="n">
        <v>3</v>
      </c>
      <c r="B8" s="32">
        <f>Справочник!$B$8</f>
        <v/>
      </c>
      <c r="C8" s="31" t="n"/>
      <c r="D8" s="31" t="n"/>
      <c r="E8" s="31">
        <f>Справочник!$C$8</f>
        <v/>
      </c>
      <c r="F8" s="33">
        <f>G7</f>
        <v/>
      </c>
      <c r="G8" s="33">
        <f>F8+E8</f>
        <v/>
      </c>
      <c r="H8" s="31" t="n"/>
      <c r="I8" s="31" t="n"/>
      <c r="J8" s="31" t="n"/>
      <c r="K8" s="31" t="n"/>
      <c r="L8" s="31" t="n"/>
      <c r="M8" s="31" t="n"/>
      <c r="N8" s="31" t="n"/>
    </row>
    <row r="9" outlineLevel="1" ht="24" customHeight="1">
      <c r="A9" s="11" t="n">
        <v>4</v>
      </c>
      <c r="B9" s="12">
        <f>Справочник!$B$9</f>
        <v/>
      </c>
      <c r="C9" s="11" t="n"/>
      <c r="D9" s="11" t="n"/>
      <c r="E9" s="11">
        <f>Справочник!$C$9</f>
        <v/>
      </c>
      <c r="F9" s="34">
        <f>G8</f>
        <v/>
      </c>
      <c r="G9" s="34">
        <f>F9+E9</f>
        <v/>
      </c>
      <c r="H9" s="11" t="n"/>
      <c r="I9" s="11" t="n"/>
      <c r="J9" s="11" t="n"/>
      <c r="K9" s="11" t="n"/>
      <c r="L9" s="11" t="n"/>
      <c r="M9" s="11" t="n"/>
      <c r="N9" s="11" t="n"/>
    </row>
    <row r="10" outlineLevel="1" ht="24" customHeight="1">
      <c r="A10" s="31" t="n">
        <v>5</v>
      </c>
      <c r="B10" s="32">
        <f>Справочник!$B$10</f>
        <v/>
      </c>
      <c r="C10" s="31" t="n"/>
      <c r="D10" s="31" t="n"/>
      <c r="E10" s="31">
        <f>Справочник!$C$10</f>
        <v/>
      </c>
      <c r="F10" s="33">
        <f>G9</f>
        <v/>
      </c>
      <c r="G10" s="33">
        <f>F10+E10</f>
        <v/>
      </c>
      <c r="H10" s="31" t="n"/>
      <c r="I10" s="31" t="n"/>
      <c r="J10" s="31" t="n"/>
      <c r="K10" s="31" t="n"/>
      <c r="L10" s="31" t="n"/>
      <c r="M10" s="31" t="n"/>
      <c r="N10" s="31" t="n"/>
    </row>
    <row r="11" outlineLevel="1" ht="24" customHeight="1">
      <c r="A11" s="11" t="n">
        <v>6</v>
      </c>
      <c r="B11" s="12">
        <f>Справочник!$B$11</f>
        <v/>
      </c>
      <c r="C11" s="11" t="n"/>
      <c r="D11" s="11" t="n"/>
      <c r="E11" s="11">
        <f>Справочник!$C$11</f>
        <v/>
      </c>
      <c r="F11" s="34">
        <f>G10</f>
        <v/>
      </c>
      <c r="G11" s="34">
        <f>F11+E11</f>
        <v/>
      </c>
      <c r="H11" s="11" t="n"/>
      <c r="I11" s="11" t="n"/>
      <c r="J11" s="11" t="n"/>
      <c r="K11" s="11" t="n"/>
      <c r="L11" s="11" t="n"/>
      <c r="M11" s="11" t="n"/>
      <c r="N11" s="11" t="n"/>
    </row>
    <row r="12" outlineLevel="1" ht="24" customHeight="1">
      <c r="A12" s="31" t="n">
        <v>7</v>
      </c>
      <c r="B12" s="32">
        <f>Справочник!$B$12</f>
        <v/>
      </c>
      <c r="C12" s="31" t="n"/>
      <c r="D12" s="31" t="n"/>
      <c r="E12" s="31">
        <f>Справочник!$C$12</f>
        <v/>
      </c>
      <c r="F12" s="33">
        <f>G11</f>
        <v/>
      </c>
      <c r="G12" s="33">
        <f>F12+E12</f>
        <v/>
      </c>
      <c r="H12" s="31" t="n"/>
      <c r="I12" s="31" t="n"/>
      <c r="J12" s="31" t="n"/>
      <c r="K12" s="31" t="n"/>
      <c r="L12" s="31" t="n"/>
      <c r="M12" s="31" t="n"/>
      <c r="N12" s="31" t="n"/>
    </row>
    <row r="13" outlineLevel="1" ht="24" customHeight="1">
      <c r="A13" s="11" t="n">
        <v>8</v>
      </c>
      <c r="B13" s="12">
        <f>Справочник!$B$13</f>
        <v/>
      </c>
      <c r="C13" s="11" t="n"/>
      <c r="D13" s="11" t="n"/>
      <c r="E13" s="11">
        <f>Справочник!$C$13</f>
        <v/>
      </c>
      <c r="F13" s="34">
        <f>G12</f>
        <v/>
      </c>
      <c r="G13" s="34">
        <f>F13+E13</f>
        <v/>
      </c>
      <c r="H13" s="11" t="n"/>
      <c r="I13" s="11" t="n"/>
      <c r="J13" s="11" t="n"/>
      <c r="K13" s="11" t="n"/>
      <c r="L13" s="11" t="n"/>
      <c r="M13" s="11" t="n"/>
      <c r="N13" s="11" t="n"/>
    </row>
    <row r="15" ht="30" customHeight="1">
      <c r="A15" s="25" t="n">
        <v>2</v>
      </c>
      <c r="B15" s="26" t="inlineStr">
        <is>
          <t>Цементная смесь тяжелая (кондуктор)</t>
        </is>
      </c>
      <c r="C15" s="25">
        <f>Справочник!$C$34</f>
        <v/>
      </c>
      <c r="D15" s="25">
        <f>Справочник!$G$34</f>
        <v/>
      </c>
      <c r="E15" s="25">
        <f>SUM(E16:E23)</f>
        <v/>
      </c>
      <c r="F15" s="27" t="inlineStr">
        <is>
          <t>Этап крепления: Кондуктор ОК-324</t>
        </is>
      </c>
      <c r="G15" s="25" t="n"/>
      <c r="H15" s="28">
        <f>Справочник!$E$23</f>
        <v/>
      </c>
      <c r="I15" s="28">
        <f>H15-E15</f>
        <v/>
      </c>
      <c r="J15" s="29" t="n">
        <v>46358</v>
      </c>
      <c r="K15" s="28">
        <f>G23</f>
        <v/>
      </c>
      <c r="L15" s="25">
        <f>H15-K15</f>
        <v/>
      </c>
      <c r="M15" s="25">
        <f>IF(L15&lt;0,"СРЫВ ГРАФИКА",IF(L15&lt;14,"РИСК","В ГРАФИКЕ"))</f>
        <v/>
      </c>
      <c r="N15" s="30" t="inlineStr"/>
    </row>
    <row r="16" outlineLevel="1" ht="24" customHeight="1">
      <c r="A16" s="31" t="n">
        <v>1</v>
      </c>
      <c r="B16" s="32">
        <f>Справочник!$B$6</f>
        <v/>
      </c>
      <c r="C16" s="31" t="n"/>
      <c r="D16" s="31" t="n"/>
      <c r="E16" s="31">
        <f>Справочник!$C$6</f>
        <v/>
      </c>
      <c r="F16" s="33">
        <f>J15</f>
        <v/>
      </c>
      <c r="G16" s="33">
        <f>F16+E16</f>
        <v/>
      </c>
      <c r="H16" s="31" t="n"/>
      <c r="I16" s="31" t="n"/>
      <c r="J16" s="31" t="n"/>
      <c r="K16" s="31" t="n"/>
      <c r="L16" s="31" t="n"/>
      <c r="M16" s="31" t="n"/>
      <c r="N16" s="31" t="n"/>
    </row>
    <row r="17" outlineLevel="1" ht="24" customHeight="1">
      <c r="A17" s="11" t="n">
        <v>2</v>
      </c>
      <c r="B17" s="12">
        <f>Справочник!$B$7</f>
        <v/>
      </c>
      <c r="C17" s="11" t="n"/>
      <c r="D17" s="11" t="n"/>
      <c r="E17" s="11">
        <f>Справочник!$C$7</f>
        <v/>
      </c>
      <c r="F17" s="34">
        <f>G16</f>
        <v/>
      </c>
      <c r="G17" s="34">
        <f>F17+E17</f>
        <v/>
      </c>
      <c r="H17" s="11" t="n"/>
      <c r="I17" s="11" t="n"/>
      <c r="J17" s="11" t="n"/>
      <c r="K17" s="11" t="n"/>
      <c r="L17" s="11" t="n"/>
      <c r="M17" s="11" t="n"/>
      <c r="N17" s="11" t="n"/>
    </row>
    <row r="18" outlineLevel="1" ht="24" customHeight="1">
      <c r="A18" s="31" t="n">
        <v>3</v>
      </c>
      <c r="B18" s="32">
        <f>Справочник!$B$8</f>
        <v/>
      </c>
      <c r="C18" s="31" t="n"/>
      <c r="D18" s="31" t="n"/>
      <c r="E18" s="31">
        <f>Справочник!$C$8</f>
        <v/>
      </c>
      <c r="F18" s="33">
        <f>G17</f>
        <v/>
      </c>
      <c r="G18" s="33">
        <f>F18+E18</f>
        <v/>
      </c>
      <c r="H18" s="31" t="n"/>
      <c r="I18" s="31" t="n"/>
      <c r="J18" s="31" t="n"/>
      <c r="K18" s="31" t="n"/>
      <c r="L18" s="31" t="n"/>
      <c r="M18" s="31" t="n"/>
      <c r="N18" s="31" t="n"/>
    </row>
    <row r="19" outlineLevel="1" ht="24" customHeight="1">
      <c r="A19" s="11" t="n">
        <v>4</v>
      </c>
      <c r="B19" s="12">
        <f>Справочник!$B$9</f>
        <v/>
      </c>
      <c r="C19" s="11" t="n"/>
      <c r="D19" s="11" t="n"/>
      <c r="E19" s="11">
        <f>Справочник!$C$9</f>
        <v/>
      </c>
      <c r="F19" s="34">
        <f>G18</f>
        <v/>
      </c>
      <c r="G19" s="34">
        <f>F19+E19</f>
        <v/>
      </c>
      <c r="H19" s="11" t="n"/>
      <c r="I19" s="11" t="n"/>
      <c r="J19" s="11" t="n"/>
      <c r="K19" s="11" t="n"/>
      <c r="L19" s="11" t="n"/>
      <c r="M19" s="11" t="n"/>
      <c r="N19" s="11" t="n"/>
    </row>
    <row r="20" outlineLevel="1" ht="24" customHeight="1">
      <c r="A20" s="31" t="n">
        <v>5</v>
      </c>
      <c r="B20" s="32">
        <f>Справочник!$B$10</f>
        <v/>
      </c>
      <c r="C20" s="31" t="n"/>
      <c r="D20" s="31" t="n"/>
      <c r="E20" s="31">
        <f>Справочник!$C$10</f>
        <v/>
      </c>
      <c r="F20" s="33">
        <f>G19</f>
        <v/>
      </c>
      <c r="G20" s="33">
        <f>F20+E20</f>
        <v/>
      </c>
      <c r="H20" s="31" t="n"/>
      <c r="I20" s="31" t="n"/>
      <c r="J20" s="31" t="n"/>
      <c r="K20" s="31" t="n"/>
      <c r="L20" s="31" t="n"/>
      <c r="M20" s="31" t="n"/>
      <c r="N20" s="31" t="n"/>
    </row>
    <row r="21" outlineLevel="1" ht="24" customHeight="1">
      <c r="A21" s="11" t="n">
        <v>6</v>
      </c>
      <c r="B21" s="12">
        <f>Справочник!$B$11</f>
        <v/>
      </c>
      <c r="C21" s="11" t="n"/>
      <c r="D21" s="11" t="n"/>
      <c r="E21" s="11">
        <f>Справочник!$C$11</f>
        <v/>
      </c>
      <c r="F21" s="34">
        <f>G20</f>
        <v/>
      </c>
      <c r="G21" s="34">
        <f>F21+E21</f>
        <v/>
      </c>
      <c r="H21" s="11" t="n"/>
      <c r="I21" s="11" t="n"/>
      <c r="J21" s="11" t="n"/>
      <c r="K21" s="11" t="n"/>
      <c r="L21" s="11" t="n"/>
      <c r="M21" s="11" t="n"/>
      <c r="N21" s="11" t="n"/>
    </row>
    <row r="22" outlineLevel="1" ht="24" customHeight="1">
      <c r="A22" s="31" t="n">
        <v>7</v>
      </c>
      <c r="B22" s="32">
        <f>Справочник!$B$12</f>
        <v/>
      </c>
      <c r="C22" s="31" t="n"/>
      <c r="D22" s="31" t="n"/>
      <c r="E22" s="31">
        <f>Справочник!$C$12</f>
        <v/>
      </c>
      <c r="F22" s="33">
        <f>G21</f>
        <v/>
      </c>
      <c r="G22" s="33">
        <f>F22+E22</f>
        <v/>
      </c>
      <c r="H22" s="31" t="n"/>
      <c r="I22" s="31" t="n"/>
      <c r="J22" s="31" t="n"/>
      <c r="K22" s="31" t="n"/>
      <c r="L22" s="31" t="n"/>
      <c r="M22" s="31" t="n"/>
      <c r="N22" s="31" t="n"/>
    </row>
    <row r="23" outlineLevel="1" ht="24" customHeight="1">
      <c r="A23" s="11" t="n">
        <v>8</v>
      </c>
      <c r="B23" s="12">
        <f>Справочник!$B$13</f>
        <v/>
      </c>
      <c r="C23" s="11" t="n"/>
      <c r="D23" s="11" t="n"/>
      <c r="E23" s="11">
        <f>Справочник!$C$13</f>
        <v/>
      </c>
      <c r="F23" s="34">
        <f>G22</f>
        <v/>
      </c>
      <c r="G23" s="34">
        <f>F23+E23</f>
        <v/>
      </c>
      <c r="H23" s="11" t="n"/>
      <c r="I23" s="11" t="n"/>
      <c r="J23" s="11" t="n"/>
      <c r="K23" s="11" t="n"/>
      <c r="L23" s="11" t="n"/>
      <c r="M23" s="11" t="n"/>
      <c r="N23" s="11" t="n"/>
    </row>
    <row r="25" ht="30" customHeight="1">
      <c r="A25" s="25" t="n">
        <v>3</v>
      </c>
      <c r="B25" s="26" t="inlineStr">
        <is>
          <t>Цементная смесь тяжелая (экспл.колонна)</t>
        </is>
      </c>
      <c r="C25" s="25">
        <f>Справочник!$C$35</f>
        <v/>
      </c>
      <c r="D25" s="25">
        <f>Справочник!$G$35</f>
        <v/>
      </c>
      <c r="E25" s="25">
        <f>SUM(E26:E33)</f>
        <v/>
      </c>
      <c r="F25" s="27" t="inlineStr">
        <is>
          <t>Этап крепления: Экспл. колонна ОК-245</t>
        </is>
      </c>
      <c r="G25" s="25" t="n"/>
      <c r="H25" s="28">
        <f>Справочник!$E$24</f>
        <v/>
      </c>
      <c r="I25" s="28">
        <f>H25-E25</f>
        <v/>
      </c>
      <c r="J25" s="29" t="n">
        <v>46389</v>
      </c>
      <c r="K25" s="28">
        <f>G33</f>
        <v/>
      </c>
      <c r="L25" s="25">
        <f>H25-K25</f>
        <v/>
      </c>
      <c r="M25" s="25">
        <f>IF(L25&lt;0,"СРЫВ ГРАФИКА",IF(L25&lt;14,"РИСК","В ГРАФИКЕ"))</f>
        <v/>
      </c>
      <c r="N25" s="30" t="inlineStr"/>
    </row>
    <row r="26" outlineLevel="1" ht="24" customHeight="1">
      <c r="A26" s="31" t="n">
        <v>1</v>
      </c>
      <c r="B26" s="32">
        <f>Справочник!$B$6</f>
        <v/>
      </c>
      <c r="C26" s="31" t="n"/>
      <c r="D26" s="31" t="n"/>
      <c r="E26" s="31">
        <f>Справочник!$C$6</f>
        <v/>
      </c>
      <c r="F26" s="33">
        <f>J25</f>
        <v/>
      </c>
      <c r="G26" s="33">
        <f>F26+E26</f>
        <v/>
      </c>
      <c r="H26" s="31" t="n"/>
      <c r="I26" s="31" t="n"/>
      <c r="J26" s="31" t="n"/>
      <c r="K26" s="31" t="n"/>
      <c r="L26" s="31" t="n"/>
      <c r="M26" s="31" t="n"/>
      <c r="N26" s="31" t="n"/>
    </row>
    <row r="27" outlineLevel="1" ht="24" customHeight="1">
      <c r="A27" s="11" t="n">
        <v>2</v>
      </c>
      <c r="B27" s="12">
        <f>Справочник!$B$7</f>
        <v/>
      </c>
      <c r="C27" s="11" t="n"/>
      <c r="D27" s="11" t="n"/>
      <c r="E27" s="11">
        <f>Справочник!$C$7</f>
        <v/>
      </c>
      <c r="F27" s="34">
        <f>G26</f>
        <v/>
      </c>
      <c r="G27" s="34">
        <f>F27+E27</f>
        <v/>
      </c>
      <c r="H27" s="11" t="n"/>
      <c r="I27" s="11" t="n"/>
      <c r="J27" s="11" t="n"/>
      <c r="K27" s="11" t="n"/>
      <c r="L27" s="11" t="n"/>
      <c r="M27" s="11" t="n"/>
      <c r="N27" s="11" t="n"/>
    </row>
    <row r="28" outlineLevel="1" ht="24" customHeight="1">
      <c r="A28" s="31" t="n">
        <v>3</v>
      </c>
      <c r="B28" s="32">
        <f>Справочник!$B$8</f>
        <v/>
      </c>
      <c r="C28" s="31" t="n"/>
      <c r="D28" s="31" t="n"/>
      <c r="E28" s="31">
        <f>Справочник!$C$8</f>
        <v/>
      </c>
      <c r="F28" s="33">
        <f>G27</f>
        <v/>
      </c>
      <c r="G28" s="33">
        <f>F28+E28</f>
        <v/>
      </c>
      <c r="H28" s="31" t="n"/>
      <c r="I28" s="31" t="n"/>
      <c r="J28" s="31" t="n"/>
      <c r="K28" s="31" t="n"/>
      <c r="L28" s="31" t="n"/>
      <c r="M28" s="31" t="n"/>
      <c r="N28" s="31" t="n"/>
    </row>
    <row r="29" outlineLevel="1" ht="24" customHeight="1">
      <c r="A29" s="11" t="n">
        <v>4</v>
      </c>
      <c r="B29" s="12">
        <f>Справочник!$B$9</f>
        <v/>
      </c>
      <c r="C29" s="11" t="n"/>
      <c r="D29" s="11" t="n"/>
      <c r="E29" s="11">
        <f>Справочник!$C$9</f>
        <v/>
      </c>
      <c r="F29" s="34">
        <f>G28</f>
        <v/>
      </c>
      <c r="G29" s="34">
        <f>F29+E29</f>
        <v/>
      </c>
      <c r="H29" s="11" t="n"/>
      <c r="I29" s="11" t="n"/>
      <c r="J29" s="11" t="n"/>
      <c r="K29" s="11" t="n"/>
      <c r="L29" s="11" t="n"/>
      <c r="M29" s="11" t="n"/>
      <c r="N29" s="11" t="n"/>
    </row>
    <row r="30" outlineLevel="1" ht="24" customHeight="1">
      <c r="A30" s="31" t="n">
        <v>5</v>
      </c>
      <c r="B30" s="32">
        <f>Справочник!$B$10</f>
        <v/>
      </c>
      <c r="C30" s="31" t="n"/>
      <c r="D30" s="31" t="n"/>
      <c r="E30" s="31">
        <f>Справочник!$C$10</f>
        <v/>
      </c>
      <c r="F30" s="33">
        <f>G29</f>
        <v/>
      </c>
      <c r="G30" s="33">
        <f>F30+E30</f>
        <v/>
      </c>
      <c r="H30" s="31" t="n"/>
      <c r="I30" s="31" t="n"/>
      <c r="J30" s="31" t="n"/>
      <c r="K30" s="31" t="n"/>
      <c r="L30" s="31" t="n"/>
      <c r="M30" s="31" t="n"/>
      <c r="N30" s="31" t="n"/>
    </row>
    <row r="31" outlineLevel="1" ht="24" customHeight="1">
      <c r="A31" s="11" t="n">
        <v>6</v>
      </c>
      <c r="B31" s="12">
        <f>Справочник!$B$11</f>
        <v/>
      </c>
      <c r="C31" s="11" t="n"/>
      <c r="D31" s="11" t="n"/>
      <c r="E31" s="11">
        <f>Справочник!$C$11</f>
        <v/>
      </c>
      <c r="F31" s="34">
        <f>G30</f>
        <v/>
      </c>
      <c r="G31" s="34">
        <f>F31+E31</f>
        <v/>
      </c>
      <c r="H31" s="11" t="n"/>
      <c r="I31" s="11" t="n"/>
      <c r="J31" s="11" t="n"/>
      <c r="K31" s="11" t="n"/>
      <c r="L31" s="11" t="n"/>
      <c r="M31" s="11" t="n"/>
      <c r="N31" s="11" t="n"/>
    </row>
    <row r="32" outlineLevel="1" ht="24" customHeight="1">
      <c r="A32" s="31" t="n">
        <v>7</v>
      </c>
      <c r="B32" s="32">
        <f>Справочник!$B$12</f>
        <v/>
      </c>
      <c r="C32" s="31" t="n"/>
      <c r="D32" s="31" t="n"/>
      <c r="E32" s="31">
        <f>Справочник!$C$12</f>
        <v/>
      </c>
      <c r="F32" s="33">
        <f>G31</f>
        <v/>
      </c>
      <c r="G32" s="33">
        <f>F32+E32</f>
        <v/>
      </c>
      <c r="H32" s="31" t="n"/>
      <c r="I32" s="31" t="n"/>
      <c r="J32" s="31" t="n"/>
      <c r="K32" s="31" t="n"/>
      <c r="L32" s="31" t="n"/>
      <c r="M32" s="31" t="n"/>
      <c r="N32" s="31" t="n"/>
    </row>
    <row r="33" outlineLevel="1" ht="24" customHeight="1">
      <c r="A33" s="11" t="n">
        <v>8</v>
      </c>
      <c r="B33" s="12">
        <f>Справочник!$B$13</f>
        <v/>
      </c>
      <c r="C33" s="11" t="n"/>
      <c r="D33" s="11" t="n"/>
      <c r="E33" s="11">
        <f>Справочник!$C$13</f>
        <v/>
      </c>
      <c r="F33" s="34">
        <f>G32</f>
        <v/>
      </c>
      <c r="G33" s="34">
        <f>F33+E33</f>
        <v/>
      </c>
      <c r="H33" s="11" t="n"/>
      <c r="I33" s="11" t="n"/>
      <c r="J33" s="11" t="n"/>
      <c r="K33" s="11" t="n"/>
      <c r="L33" s="11" t="n"/>
      <c r="M33" s="11" t="n"/>
      <c r="N33" s="11" t="n"/>
    </row>
    <row r="35" ht="30" customHeight="1">
      <c r="A35" s="25" t="n">
        <v>4</v>
      </c>
      <c r="B35" s="26" t="inlineStr">
        <is>
          <t>Цементная смесь легкая (экспл.колонна)</t>
        </is>
      </c>
      <c r="C35" s="25">
        <f>Справочник!$C$36</f>
        <v/>
      </c>
      <c r="D35" s="25">
        <f>Справочник!$G$36</f>
        <v/>
      </c>
      <c r="E35" s="25">
        <f>SUM(E36:E43)</f>
        <v/>
      </c>
      <c r="F35" s="27" t="inlineStr">
        <is>
          <t>Этап крепления: Экспл. колонна ОК-245</t>
        </is>
      </c>
      <c r="G35" s="25" t="n"/>
      <c r="H35" s="28">
        <f>Справочник!$E$24</f>
        <v/>
      </c>
      <c r="I35" s="28">
        <f>H35-E35</f>
        <v/>
      </c>
      <c r="J35" s="29" t="n">
        <v>46389</v>
      </c>
      <c r="K35" s="28">
        <f>G43</f>
        <v/>
      </c>
      <c r="L35" s="25">
        <f>H35-K35</f>
        <v/>
      </c>
      <c r="M35" s="25">
        <f>IF(L35&lt;0,"СРЫВ ГРАФИКА",IF(L35&lt;14,"РИСК","В ГРАФИКЕ"))</f>
        <v/>
      </c>
      <c r="N35" s="30" t="inlineStr"/>
    </row>
    <row r="36" outlineLevel="1" ht="24" customHeight="1">
      <c r="A36" s="31" t="n">
        <v>1</v>
      </c>
      <c r="B36" s="32">
        <f>Справочник!$B$6</f>
        <v/>
      </c>
      <c r="C36" s="31" t="n"/>
      <c r="D36" s="31" t="n"/>
      <c r="E36" s="31">
        <f>Справочник!$C$6</f>
        <v/>
      </c>
      <c r="F36" s="33">
        <f>J35</f>
        <v/>
      </c>
      <c r="G36" s="33">
        <f>F36+E36</f>
        <v/>
      </c>
      <c r="H36" s="31" t="n"/>
      <c r="I36" s="31" t="n"/>
      <c r="J36" s="31" t="n"/>
      <c r="K36" s="31" t="n"/>
      <c r="L36" s="31" t="n"/>
      <c r="M36" s="31" t="n"/>
      <c r="N36" s="31" t="n"/>
    </row>
    <row r="37" outlineLevel="1" ht="24" customHeight="1">
      <c r="A37" s="11" t="n">
        <v>2</v>
      </c>
      <c r="B37" s="12">
        <f>Справочник!$B$7</f>
        <v/>
      </c>
      <c r="C37" s="11" t="n"/>
      <c r="D37" s="11" t="n"/>
      <c r="E37" s="11">
        <f>Справочник!$C$7</f>
        <v/>
      </c>
      <c r="F37" s="34">
        <f>G36</f>
        <v/>
      </c>
      <c r="G37" s="34">
        <f>F37+E37</f>
        <v/>
      </c>
      <c r="H37" s="11" t="n"/>
      <c r="I37" s="11" t="n"/>
      <c r="J37" s="11" t="n"/>
      <c r="K37" s="11" t="n"/>
      <c r="L37" s="11" t="n"/>
      <c r="M37" s="11" t="n"/>
      <c r="N37" s="11" t="n"/>
    </row>
    <row r="38" outlineLevel="1" ht="24" customHeight="1">
      <c r="A38" s="31" t="n">
        <v>3</v>
      </c>
      <c r="B38" s="32">
        <f>Справочник!$B$8</f>
        <v/>
      </c>
      <c r="C38" s="31" t="n"/>
      <c r="D38" s="31" t="n"/>
      <c r="E38" s="31">
        <f>Справочник!$C$8</f>
        <v/>
      </c>
      <c r="F38" s="33">
        <f>G37</f>
        <v/>
      </c>
      <c r="G38" s="33">
        <f>F38+E38</f>
        <v/>
      </c>
      <c r="H38" s="31" t="n"/>
      <c r="I38" s="31" t="n"/>
      <c r="J38" s="31" t="n"/>
      <c r="K38" s="31" t="n"/>
      <c r="L38" s="31" t="n"/>
      <c r="M38" s="31" t="n"/>
      <c r="N38" s="31" t="n"/>
    </row>
    <row r="39" outlineLevel="1" ht="24" customHeight="1">
      <c r="A39" s="11" t="n">
        <v>4</v>
      </c>
      <c r="B39" s="12">
        <f>Справочник!$B$9</f>
        <v/>
      </c>
      <c r="C39" s="11" t="n"/>
      <c r="D39" s="11" t="n"/>
      <c r="E39" s="11">
        <f>Справочник!$C$9</f>
        <v/>
      </c>
      <c r="F39" s="34">
        <f>G38</f>
        <v/>
      </c>
      <c r="G39" s="34">
        <f>F39+E39</f>
        <v/>
      </c>
      <c r="H39" s="11" t="n"/>
      <c r="I39" s="11" t="n"/>
      <c r="J39" s="11" t="n"/>
      <c r="K39" s="11" t="n"/>
      <c r="L39" s="11" t="n"/>
      <c r="M39" s="11" t="n"/>
      <c r="N39" s="11" t="n"/>
    </row>
    <row r="40" outlineLevel="1" ht="24" customHeight="1">
      <c r="A40" s="31" t="n">
        <v>5</v>
      </c>
      <c r="B40" s="32">
        <f>Справочник!$B$10</f>
        <v/>
      </c>
      <c r="C40" s="31" t="n"/>
      <c r="D40" s="31" t="n"/>
      <c r="E40" s="31">
        <f>Справочник!$C$10</f>
        <v/>
      </c>
      <c r="F40" s="33">
        <f>G39</f>
        <v/>
      </c>
      <c r="G40" s="33">
        <f>F40+E40</f>
        <v/>
      </c>
      <c r="H40" s="31" t="n"/>
      <c r="I40" s="31" t="n"/>
      <c r="J40" s="31" t="n"/>
      <c r="K40" s="31" t="n"/>
      <c r="L40" s="31" t="n"/>
      <c r="M40" s="31" t="n"/>
      <c r="N40" s="31" t="n"/>
    </row>
    <row r="41" outlineLevel="1" ht="24" customHeight="1">
      <c r="A41" s="11" t="n">
        <v>6</v>
      </c>
      <c r="B41" s="12">
        <f>Справочник!$B$11</f>
        <v/>
      </c>
      <c r="C41" s="11" t="n"/>
      <c r="D41" s="11" t="n"/>
      <c r="E41" s="11">
        <f>Справочник!$C$11</f>
        <v/>
      </c>
      <c r="F41" s="34">
        <f>G40</f>
        <v/>
      </c>
      <c r="G41" s="34">
        <f>F41+E41</f>
        <v/>
      </c>
      <c r="H41" s="11" t="n"/>
      <c r="I41" s="11" t="n"/>
      <c r="J41" s="11" t="n"/>
      <c r="K41" s="11" t="n"/>
      <c r="L41" s="11" t="n"/>
      <c r="M41" s="11" t="n"/>
      <c r="N41" s="11" t="n"/>
    </row>
    <row r="42" outlineLevel="1" ht="24" customHeight="1">
      <c r="A42" s="31" t="n">
        <v>7</v>
      </c>
      <c r="B42" s="32">
        <f>Справочник!$B$12</f>
        <v/>
      </c>
      <c r="C42" s="31" t="n"/>
      <c r="D42" s="31" t="n"/>
      <c r="E42" s="31">
        <f>Справочник!$C$12</f>
        <v/>
      </c>
      <c r="F42" s="33">
        <f>G41</f>
        <v/>
      </c>
      <c r="G42" s="33">
        <f>F42+E42</f>
        <v/>
      </c>
      <c r="H42" s="31" t="n"/>
      <c r="I42" s="31" t="n"/>
      <c r="J42" s="31" t="n"/>
      <c r="K42" s="31" t="n"/>
      <c r="L42" s="31" t="n"/>
      <c r="M42" s="31" t="n"/>
      <c r="N42" s="31" t="n"/>
    </row>
    <row r="43" outlineLevel="1" ht="24" customHeight="1">
      <c r="A43" s="11" t="n">
        <v>8</v>
      </c>
      <c r="B43" s="12">
        <f>Справочник!$B$13</f>
        <v/>
      </c>
      <c r="C43" s="11" t="n"/>
      <c r="D43" s="11" t="n"/>
      <c r="E43" s="11">
        <f>Справочник!$C$13</f>
        <v/>
      </c>
      <c r="F43" s="34">
        <f>G42</f>
        <v/>
      </c>
      <c r="G43" s="34">
        <f>F43+E43</f>
        <v/>
      </c>
      <c r="H43" s="11" t="n"/>
      <c r="I43" s="11" t="n"/>
      <c r="J43" s="11" t="n"/>
      <c r="K43" s="11" t="n"/>
      <c r="L43" s="11" t="n"/>
      <c r="M43" s="11" t="n"/>
      <c r="N43" s="11" t="n"/>
    </row>
    <row r="45" ht="30" customHeight="1">
      <c r="A45" s="25" t="n">
        <v>5</v>
      </c>
      <c r="B45" s="26" t="inlineStr">
        <is>
          <t>Замедлитель</t>
        </is>
      </c>
      <c r="C45" s="25">
        <f>Справочник!$C$37</f>
        <v/>
      </c>
      <c r="D45" s="25">
        <f>Справочник!$G$37</f>
        <v/>
      </c>
      <c r="E45" s="25">
        <f>SUM(E46:E53)</f>
        <v/>
      </c>
      <c r="F45" s="27" t="inlineStr">
        <is>
          <t>Этап крепления: Направление ОК-426</t>
        </is>
      </c>
      <c r="G45" s="25" t="n"/>
      <c r="H45" s="28">
        <f>Справочник!$E$22</f>
        <v/>
      </c>
      <c r="I45" s="28">
        <f>H45-E45</f>
        <v/>
      </c>
      <c r="J45" s="29" t="n">
        <v>46343</v>
      </c>
      <c r="K45" s="28">
        <f>G53</f>
        <v/>
      </c>
      <c r="L45" s="25">
        <f>H45-K45</f>
        <v/>
      </c>
      <c r="M45" s="25">
        <f>IF(L45&lt;0,"СРЫВ ГРАФИКА",IF(L45&lt;14,"РИСК","В ГРАФИКЕ"))</f>
        <v/>
      </c>
      <c r="N45" s="30" t="inlineStr"/>
    </row>
    <row r="46" outlineLevel="1" ht="24" customHeight="1">
      <c r="A46" s="31" t="n">
        <v>1</v>
      </c>
      <c r="B46" s="32">
        <f>Справочник!$B$6</f>
        <v/>
      </c>
      <c r="C46" s="31" t="n"/>
      <c r="D46" s="31" t="n"/>
      <c r="E46" s="31">
        <f>Справочник!$D$6</f>
        <v/>
      </c>
      <c r="F46" s="33">
        <f>J45</f>
        <v/>
      </c>
      <c r="G46" s="33">
        <f>F46+E46</f>
        <v/>
      </c>
      <c r="H46" s="31" t="n"/>
      <c r="I46" s="31" t="n"/>
      <c r="J46" s="31" t="n"/>
      <c r="K46" s="31" t="n"/>
      <c r="L46" s="31" t="n"/>
      <c r="M46" s="31" t="n"/>
      <c r="N46" s="31" t="n"/>
    </row>
    <row r="47" outlineLevel="1" ht="24" customHeight="1">
      <c r="A47" s="11" t="n">
        <v>2</v>
      </c>
      <c r="B47" s="12">
        <f>Справочник!$B$7</f>
        <v/>
      </c>
      <c r="C47" s="11" t="n"/>
      <c r="D47" s="11" t="n"/>
      <c r="E47" s="11">
        <f>Справочник!$D$7</f>
        <v/>
      </c>
      <c r="F47" s="34">
        <f>G46</f>
        <v/>
      </c>
      <c r="G47" s="34">
        <f>F47+E47</f>
        <v/>
      </c>
      <c r="H47" s="11" t="n"/>
      <c r="I47" s="11" t="n"/>
      <c r="J47" s="11" t="n"/>
      <c r="K47" s="11" t="n"/>
      <c r="L47" s="11" t="n"/>
      <c r="M47" s="11" t="n"/>
      <c r="N47" s="11" t="n"/>
    </row>
    <row r="48" outlineLevel="1" ht="24" customHeight="1">
      <c r="A48" s="31" t="n">
        <v>3</v>
      </c>
      <c r="B48" s="32">
        <f>Справочник!$B$8</f>
        <v/>
      </c>
      <c r="C48" s="31" t="n"/>
      <c r="D48" s="31" t="n"/>
      <c r="E48" s="31">
        <f>Справочник!$D$8</f>
        <v/>
      </c>
      <c r="F48" s="33">
        <f>G47</f>
        <v/>
      </c>
      <c r="G48" s="33">
        <f>F48+E48</f>
        <v/>
      </c>
      <c r="H48" s="31" t="n"/>
      <c r="I48" s="31" t="n"/>
      <c r="J48" s="31" t="n"/>
      <c r="K48" s="31" t="n"/>
      <c r="L48" s="31" t="n"/>
      <c r="M48" s="31" t="n"/>
      <c r="N48" s="31" t="n"/>
    </row>
    <row r="49" outlineLevel="1" ht="24" customHeight="1">
      <c r="A49" s="11" t="n">
        <v>4</v>
      </c>
      <c r="B49" s="12">
        <f>Справочник!$B$9</f>
        <v/>
      </c>
      <c r="C49" s="11" t="n"/>
      <c r="D49" s="11" t="n"/>
      <c r="E49" s="11">
        <f>Справочник!$D$9</f>
        <v/>
      </c>
      <c r="F49" s="34">
        <f>G48</f>
        <v/>
      </c>
      <c r="G49" s="34">
        <f>F49+E49</f>
        <v/>
      </c>
      <c r="H49" s="11" t="n"/>
      <c r="I49" s="11" t="n"/>
      <c r="J49" s="11" t="n"/>
      <c r="K49" s="11" t="n"/>
      <c r="L49" s="11" t="n"/>
      <c r="M49" s="11" t="n"/>
      <c r="N49" s="11" t="n"/>
    </row>
    <row r="50" outlineLevel="1" ht="24" customHeight="1">
      <c r="A50" s="31" t="n">
        <v>5</v>
      </c>
      <c r="B50" s="32">
        <f>Справочник!$B$10</f>
        <v/>
      </c>
      <c r="C50" s="31" t="n"/>
      <c r="D50" s="31" t="n"/>
      <c r="E50" s="31">
        <f>Справочник!$D$10</f>
        <v/>
      </c>
      <c r="F50" s="33">
        <f>G49</f>
        <v/>
      </c>
      <c r="G50" s="33">
        <f>F50+E50</f>
        <v/>
      </c>
      <c r="H50" s="31" t="n"/>
      <c r="I50" s="31" t="n"/>
      <c r="J50" s="31" t="n"/>
      <c r="K50" s="31" t="n"/>
      <c r="L50" s="31" t="n"/>
      <c r="M50" s="31" t="n"/>
      <c r="N50" s="31" t="n"/>
    </row>
    <row r="51" outlineLevel="1" ht="24" customHeight="1">
      <c r="A51" s="11" t="n">
        <v>6</v>
      </c>
      <c r="B51" s="12">
        <f>Справочник!$B$11</f>
        <v/>
      </c>
      <c r="C51" s="11" t="n"/>
      <c r="D51" s="11" t="n"/>
      <c r="E51" s="11">
        <f>Справочник!$D$11</f>
        <v/>
      </c>
      <c r="F51" s="34">
        <f>G50</f>
        <v/>
      </c>
      <c r="G51" s="34">
        <f>F51+E51</f>
        <v/>
      </c>
      <c r="H51" s="11" t="n"/>
      <c r="I51" s="11" t="n"/>
      <c r="J51" s="11" t="n"/>
      <c r="K51" s="11" t="n"/>
      <c r="L51" s="11" t="n"/>
      <c r="M51" s="11" t="n"/>
      <c r="N51" s="11" t="n"/>
    </row>
    <row r="52" outlineLevel="1" ht="24" customHeight="1">
      <c r="A52" s="31" t="n">
        <v>7</v>
      </c>
      <c r="B52" s="32">
        <f>Справочник!$B$12</f>
        <v/>
      </c>
      <c r="C52" s="31" t="n"/>
      <c r="D52" s="31" t="n"/>
      <c r="E52" s="31">
        <f>Справочник!$D$12</f>
        <v/>
      </c>
      <c r="F52" s="33">
        <f>G51</f>
        <v/>
      </c>
      <c r="G52" s="33">
        <f>F52+E52</f>
        <v/>
      </c>
      <c r="H52" s="31" t="n"/>
      <c r="I52" s="31" t="n"/>
      <c r="J52" s="31" t="n"/>
      <c r="K52" s="31" t="n"/>
      <c r="L52" s="31" t="n"/>
      <c r="M52" s="31" t="n"/>
      <c r="N52" s="31" t="n"/>
    </row>
    <row r="53" outlineLevel="1" ht="24" customHeight="1">
      <c r="A53" s="11" t="n">
        <v>8</v>
      </c>
      <c r="B53" s="12">
        <f>Справочник!$B$13</f>
        <v/>
      </c>
      <c r="C53" s="11" t="n"/>
      <c r="D53" s="11" t="n"/>
      <c r="E53" s="11">
        <f>Справочник!$D$13</f>
        <v/>
      </c>
      <c r="F53" s="34">
        <f>G52</f>
        <v/>
      </c>
      <c r="G53" s="34">
        <f>F53+E53</f>
        <v/>
      </c>
      <c r="H53" s="11" t="n"/>
      <c r="I53" s="11" t="n"/>
      <c r="J53" s="11" t="n"/>
      <c r="K53" s="11" t="n"/>
      <c r="L53" s="11" t="n"/>
      <c r="M53" s="11" t="n"/>
      <c r="N53" s="11" t="n"/>
    </row>
    <row r="55" ht="30" customHeight="1">
      <c r="A55" s="25" t="n">
        <v>6</v>
      </c>
      <c r="B55" s="26" t="inlineStr">
        <is>
          <t>Труба обсадная ОК-426</t>
        </is>
      </c>
      <c r="C55" s="25">
        <f>Справочник!$C$38</f>
        <v/>
      </c>
      <c r="D55" s="25">
        <f>Справочник!$G$38</f>
        <v/>
      </c>
      <c r="E55" s="25">
        <f>SUM(E56:E63)</f>
        <v/>
      </c>
      <c r="F55" s="27" t="inlineStr">
        <is>
          <t>Этап крепления: Направление ОК-426</t>
        </is>
      </c>
      <c r="G55" s="25" t="n"/>
      <c r="H55" s="28">
        <f>Справочник!$E$22</f>
        <v/>
      </c>
      <c r="I55" s="28">
        <f>H55-E55</f>
        <v/>
      </c>
      <c r="J55" s="29" t="n">
        <v>46300</v>
      </c>
      <c r="K55" s="28">
        <f>G63</f>
        <v/>
      </c>
      <c r="L55" s="25">
        <f>H55-K55</f>
        <v/>
      </c>
      <c r="M55" s="25">
        <f>IF(L55&lt;0,"СРЫВ ГРАФИКА",IF(L55&lt;14,"РИСК","В ГРАФИКЕ"))</f>
        <v/>
      </c>
      <c r="N55" s="30" t="inlineStr"/>
    </row>
    <row r="56" outlineLevel="1" ht="24" customHeight="1">
      <c r="A56" s="31" t="n">
        <v>1</v>
      </c>
      <c r="B56" s="32">
        <f>Справочник!$B$6</f>
        <v/>
      </c>
      <c r="C56" s="31" t="n"/>
      <c r="D56" s="31" t="n"/>
      <c r="E56" s="31">
        <f>Справочник!$E$6</f>
        <v/>
      </c>
      <c r="F56" s="33">
        <f>J55</f>
        <v/>
      </c>
      <c r="G56" s="33">
        <f>F56+E56</f>
        <v/>
      </c>
      <c r="H56" s="31" t="n"/>
      <c r="I56" s="31" t="n"/>
      <c r="J56" s="31" t="n"/>
      <c r="K56" s="31" t="n"/>
      <c r="L56" s="31" t="n"/>
      <c r="M56" s="31" t="n"/>
      <c r="N56" s="31" t="n"/>
    </row>
    <row r="57" outlineLevel="1" ht="24" customHeight="1">
      <c r="A57" s="11" t="n">
        <v>2</v>
      </c>
      <c r="B57" s="12">
        <f>Справочник!$B$7</f>
        <v/>
      </c>
      <c r="C57" s="11" t="n"/>
      <c r="D57" s="11" t="n"/>
      <c r="E57" s="11">
        <f>Справочник!$E$7</f>
        <v/>
      </c>
      <c r="F57" s="34">
        <f>G56</f>
        <v/>
      </c>
      <c r="G57" s="34">
        <f>F57+E57</f>
        <v/>
      </c>
      <c r="H57" s="11" t="n"/>
      <c r="I57" s="11" t="n"/>
      <c r="J57" s="11" t="n"/>
      <c r="K57" s="11" t="n"/>
      <c r="L57" s="11" t="n"/>
      <c r="M57" s="11" t="n"/>
      <c r="N57" s="11" t="n"/>
    </row>
    <row r="58" outlineLevel="1" ht="24" customHeight="1">
      <c r="A58" s="31" t="n">
        <v>3</v>
      </c>
      <c r="B58" s="32">
        <f>Справочник!$B$8</f>
        <v/>
      </c>
      <c r="C58" s="31" t="n"/>
      <c r="D58" s="31" t="n"/>
      <c r="E58" s="31">
        <f>Справочник!$E$8</f>
        <v/>
      </c>
      <c r="F58" s="33">
        <f>G57</f>
        <v/>
      </c>
      <c r="G58" s="33">
        <f>F58+E58</f>
        <v/>
      </c>
      <c r="H58" s="31" t="n"/>
      <c r="I58" s="31" t="n"/>
      <c r="J58" s="31" t="n"/>
      <c r="K58" s="31" t="n"/>
      <c r="L58" s="31" t="n"/>
      <c r="M58" s="31" t="n"/>
      <c r="N58" s="31" t="n"/>
    </row>
    <row r="59" outlineLevel="1" ht="24" customHeight="1">
      <c r="A59" s="11" t="n">
        <v>4</v>
      </c>
      <c r="B59" s="12">
        <f>Справочник!$B$9</f>
        <v/>
      </c>
      <c r="C59" s="11" t="n"/>
      <c r="D59" s="11" t="n"/>
      <c r="E59" s="11">
        <f>Справочник!$E$9</f>
        <v/>
      </c>
      <c r="F59" s="34">
        <f>G58</f>
        <v/>
      </c>
      <c r="G59" s="34">
        <f>F59+E59</f>
        <v/>
      </c>
      <c r="H59" s="11" t="n"/>
      <c r="I59" s="11" t="n"/>
      <c r="J59" s="11" t="n"/>
      <c r="K59" s="11" t="n"/>
      <c r="L59" s="11" t="n"/>
      <c r="M59" s="11" t="n"/>
      <c r="N59" s="11" t="n"/>
    </row>
    <row r="60" outlineLevel="1" ht="24" customHeight="1">
      <c r="A60" s="31" t="n">
        <v>5</v>
      </c>
      <c r="B60" s="32">
        <f>Справочник!$B$10</f>
        <v/>
      </c>
      <c r="C60" s="31" t="n"/>
      <c r="D60" s="31" t="n"/>
      <c r="E60" s="31">
        <f>Справочник!$E$10</f>
        <v/>
      </c>
      <c r="F60" s="33">
        <f>G59</f>
        <v/>
      </c>
      <c r="G60" s="33">
        <f>F60+E60</f>
        <v/>
      </c>
      <c r="H60" s="31" t="n"/>
      <c r="I60" s="31" t="n"/>
      <c r="J60" s="31" t="n"/>
      <c r="K60" s="31" t="n"/>
      <c r="L60" s="31" t="n"/>
      <c r="M60" s="31" t="n"/>
      <c r="N60" s="31" t="n"/>
    </row>
    <row r="61" outlineLevel="1" ht="24" customHeight="1">
      <c r="A61" s="11" t="n">
        <v>6</v>
      </c>
      <c r="B61" s="12">
        <f>Справочник!$B$11</f>
        <v/>
      </c>
      <c r="C61" s="11" t="n"/>
      <c r="D61" s="11" t="n"/>
      <c r="E61" s="11">
        <f>Справочник!$E$11</f>
        <v/>
      </c>
      <c r="F61" s="34">
        <f>G60</f>
        <v/>
      </c>
      <c r="G61" s="34">
        <f>F61+E61</f>
        <v/>
      </c>
      <c r="H61" s="11" t="n"/>
      <c r="I61" s="11" t="n"/>
      <c r="J61" s="11" t="n"/>
      <c r="K61" s="11" t="n"/>
      <c r="L61" s="11" t="n"/>
      <c r="M61" s="11" t="n"/>
      <c r="N61" s="11" t="n"/>
    </row>
    <row r="62" outlineLevel="1" ht="24" customHeight="1">
      <c r="A62" s="31" t="n">
        <v>7</v>
      </c>
      <c r="B62" s="32">
        <f>Справочник!$B$12</f>
        <v/>
      </c>
      <c r="C62" s="31" t="n"/>
      <c r="D62" s="31" t="n"/>
      <c r="E62" s="31">
        <f>Справочник!$E$12</f>
        <v/>
      </c>
      <c r="F62" s="33">
        <f>G61</f>
        <v/>
      </c>
      <c r="G62" s="33">
        <f>F62+E62</f>
        <v/>
      </c>
      <c r="H62" s="31" t="n"/>
      <c r="I62" s="31" t="n"/>
      <c r="J62" s="31" t="n"/>
      <c r="K62" s="31" t="n"/>
      <c r="L62" s="31" t="n"/>
      <c r="M62" s="31" t="n"/>
      <c r="N62" s="31" t="n"/>
    </row>
    <row r="63" outlineLevel="1" ht="24" customHeight="1">
      <c r="A63" s="11" t="n">
        <v>8</v>
      </c>
      <c r="B63" s="12">
        <f>Справочник!$B$13</f>
        <v/>
      </c>
      <c r="C63" s="11" t="n"/>
      <c r="D63" s="11" t="n"/>
      <c r="E63" s="11">
        <f>Справочник!$E$13</f>
        <v/>
      </c>
      <c r="F63" s="34">
        <f>G62</f>
        <v/>
      </c>
      <c r="G63" s="34">
        <f>F63+E63</f>
        <v/>
      </c>
      <c r="H63" s="11" t="n"/>
      <c r="I63" s="11" t="n"/>
      <c r="J63" s="11" t="n"/>
      <c r="K63" s="11" t="n"/>
      <c r="L63" s="11" t="n"/>
      <c r="M63" s="11" t="n"/>
      <c r="N63" s="11" t="n"/>
    </row>
    <row r="65" ht="30" customHeight="1">
      <c r="A65" s="25" t="n">
        <v>7</v>
      </c>
      <c r="B65" s="26" t="inlineStr">
        <is>
          <t>Труба обсадная ОК-324</t>
        </is>
      </c>
      <c r="C65" s="25">
        <f>Справочник!$C$39</f>
        <v/>
      </c>
      <c r="D65" s="25">
        <f>Справочник!$G$39</f>
        <v/>
      </c>
      <c r="E65" s="25">
        <f>SUM(E66:E73)</f>
        <v/>
      </c>
      <c r="F65" s="27" t="inlineStr">
        <is>
          <t>Этап крепления: Кондуктор ОК-324</t>
        </is>
      </c>
      <c r="G65" s="25" t="n"/>
      <c r="H65" s="28">
        <f>Справочник!$E$23</f>
        <v/>
      </c>
      <c r="I65" s="28">
        <f>H65-E65</f>
        <v/>
      </c>
      <c r="J65" s="29" t="n">
        <v>46315</v>
      </c>
      <c r="K65" s="28">
        <f>G73</f>
        <v/>
      </c>
      <c r="L65" s="25">
        <f>H65-K65</f>
        <v/>
      </c>
      <c r="M65" s="25">
        <f>IF(L65&lt;0,"СРЫВ ГРАФИКА",IF(L65&lt;14,"РИСК","В ГРАФИКЕ"))</f>
        <v/>
      </c>
      <c r="N65" s="30" t="inlineStr"/>
    </row>
    <row r="66" outlineLevel="1" ht="24" customHeight="1">
      <c r="A66" s="31" t="n">
        <v>1</v>
      </c>
      <c r="B66" s="32">
        <f>Справочник!$B$6</f>
        <v/>
      </c>
      <c r="C66" s="31" t="n"/>
      <c r="D66" s="31" t="n"/>
      <c r="E66" s="31">
        <f>Справочник!$E$6</f>
        <v/>
      </c>
      <c r="F66" s="33">
        <f>J65</f>
        <v/>
      </c>
      <c r="G66" s="33">
        <f>F66+E66</f>
        <v/>
      </c>
      <c r="H66" s="31" t="n"/>
      <c r="I66" s="31" t="n"/>
      <c r="J66" s="31" t="n"/>
      <c r="K66" s="31" t="n"/>
      <c r="L66" s="31" t="n"/>
      <c r="M66" s="31" t="n"/>
      <c r="N66" s="31" t="n"/>
    </row>
    <row r="67" outlineLevel="1" ht="24" customHeight="1">
      <c r="A67" s="11" t="n">
        <v>2</v>
      </c>
      <c r="B67" s="12">
        <f>Справочник!$B$7</f>
        <v/>
      </c>
      <c r="C67" s="11" t="n"/>
      <c r="D67" s="11" t="n"/>
      <c r="E67" s="11">
        <f>Справочник!$E$7</f>
        <v/>
      </c>
      <c r="F67" s="34">
        <f>G66</f>
        <v/>
      </c>
      <c r="G67" s="34">
        <f>F67+E67</f>
        <v/>
      </c>
      <c r="H67" s="11" t="n"/>
      <c r="I67" s="11" t="n"/>
      <c r="J67" s="11" t="n"/>
      <c r="K67" s="11" t="n"/>
      <c r="L67" s="11" t="n"/>
      <c r="M67" s="11" t="n"/>
      <c r="N67" s="11" t="n"/>
    </row>
    <row r="68" outlineLevel="1" ht="24" customHeight="1">
      <c r="A68" s="31" t="n">
        <v>3</v>
      </c>
      <c r="B68" s="32">
        <f>Справочник!$B$8</f>
        <v/>
      </c>
      <c r="C68" s="31" t="n"/>
      <c r="D68" s="31" t="n"/>
      <c r="E68" s="31">
        <f>Справочник!$E$8</f>
        <v/>
      </c>
      <c r="F68" s="33">
        <f>G67</f>
        <v/>
      </c>
      <c r="G68" s="33">
        <f>F68+E68</f>
        <v/>
      </c>
      <c r="H68" s="31" t="n"/>
      <c r="I68" s="31" t="n"/>
      <c r="J68" s="31" t="n"/>
      <c r="K68" s="31" t="n"/>
      <c r="L68" s="31" t="n"/>
      <c r="M68" s="31" t="n"/>
      <c r="N68" s="31" t="n"/>
    </row>
    <row r="69" outlineLevel="1" ht="24" customHeight="1">
      <c r="A69" s="11" t="n">
        <v>4</v>
      </c>
      <c r="B69" s="12">
        <f>Справочник!$B$9</f>
        <v/>
      </c>
      <c r="C69" s="11" t="n"/>
      <c r="D69" s="11" t="n"/>
      <c r="E69" s="11">
        <f>Справочник!$E$9</f>
        <v/>
      </c>
      <c r="F69" s="34">
        <f>G68</f>
        <v/>
      </c>
      <c r="G69" s="34">
        <f>F69+E69</f>
        <v/>
      </c>
      <c r="H69" s="11" t="n"/>
      <c r="I69" s="11" t="n"/>
      <c r="J69" s="11" t="n"/>
      <c r="K69" s="11" t="n"/>
      <c r="L69" s="11" t="n"/>
      <c r="M69" s="11" t="n"/>
      <c r="N69" s="11" t="n"/>
    </row>
    <row r="70" outlineLevel="1" ht="24" customHeight="1">
      <c r="A70" s="31" t="n">
        <v>5</v>
      </c>
      <c r="B70" s="32">
        <f>Справочник!$B$10</f>
        <v/>
      </c>
      <c r="C70" s="31" t="n"/>
      <c r="D70" s="31" t="n"/>
      <c r="E70" s="31">
        <f>Справочник!$E$10</f>
        <v/>
      </c>
      <c r="F70" s="33">
        <f>G69</f>
        <v/>
      </c>
      <c r="G70" s="33">
        <f>F70+E70</f>
        <v/>
      </c>
      <c r="H70" s="31" t="n"/>
      <c r="I70" s="31" t="n"/>
      <c r="J70" s="31" t="n"/>
      <c r="K70" s="31" t="n"/>
      <c r="L70" s="31" t="n"/>
      <c r="M70" s="31" t="n"/>
      <c r="N70" s="31" t="n"/>
    </row>
    <row r="71" outlineLevel="1" ht="24" customHeight="1">
      <c r="A71" s="11" t="n">
        <v>6</v>
      </c>
      <c r="B71" s="12">
        <f>Справочник!$B$11</f>
        <v/>
      </c>
      <c r="C71" s="11" t="n"/>
      <c r="D71" s="11" t="n"/>
      <c r="E71" s="11">
        <f>Справочник!$E$11</f>
        <v/>
      </c>
      <c r="F71" s="34">
        <f>G70</f>
        <v/>
      </c>
      <c r="G71" s="34">
        <f>F71+E71</f>
        <v/>
      </c>
      <c r="H71" s="11" t="n"/>
      <c r="I71" s="11" t="n"/>
      <c r="J71" s="11" t="n"/>
      <c r="K71" s="11" t="n"/>
      <c r="L71" s="11" t="n"/>
      <c r="M71" s="11" t="n"/>
      <c r="N71" s="11" t="n"/>
    </row>
    <row r="72" outlineLevel="1" ht="24" customHeight="1">
      <c r="A72" s="31" t="n">
        <v>7</v>
      </c>
      <c r="B72" s="32">
        <f>Справочник!$B$12</f>
        <v/>
      </c>
      <c r="C72" s="31" t="n"/>
      <c r="D72" s="31" t="n"/>
      <c r="E72" s="31">
        <f>Справочник!$E$12</f>
        <v/>
      </c>
      <c r="F72" s="33">
        <f>G71</f>
        <v/>
      </c>
      <c r="G72" s="33">
        <f>F72+E72</f>
        <v/>
      </c>
      <c r="H72" s="31" t="n"/>
      <c r="I72" s="31" t="n"/>
      <c r="J72" s="31" t="n"/>
      <c r="K72" s="31" t="n"/>
      <c r="L72" s="31" t="n"/>
      <c r="M72" s="31" t="n"/>
      <c r="N72" s="31" t="n"/>
    </row>
    <row r="73" outlineLevel="1" ht="24" customHeight="1">
      <c r="A73" s="11" t="n">
        <v>8</v>
      </c>
      <c r="B73" s="12">
        <f>Справочник!$B$13</f>
        <v/>
      </c>
      <c r="C73" s="11" t="n"/>
      <c r="D73" s="11" t="n"/>
      <c r="E73" s="11">
        <f>Справочник!$E$13</f>
        <v/>
      </c>
      <c r="F73" s="34">
        <f>G72</f>
        <v/>
      </c>
      <c r="G73" s="34">
        <f>F73+E73</f>
        <v/>
      </c>
      <c r="H73" s="11" t="n"/>
      <c r="I73" s="11" t="n"/>
      <c r="J73" s="11" t="n"/>
      <c r="K73" s="11" t="n"/>
      <c r="L73" s="11" t="n"/>
      <c r="M73" s="11" t="n"/>
      <c r="N73" s="11" t="n"/>
    </row>
    <row r="75" ht="30" customHeight="1">
      <c r="A75" s="25" t="n">
        <v>8</v>
      </c>
      <c r="B75" s="26" t="inlineStr">
        <is>
          <t>Труба обсадная ОК-245</t>
        </is>
      </c>
      <c r="C75" s="25">
        <f>Справочник!$C$40</f>
        <v/>
      </c>
      <c r="D75" s="25">
        <f>Справочник!$G$40</f>
        <v/>
      </c>
      <c r="E75" s="25">
        <f>SUM(E76:E83)</f>
        <v/>
      </c>
      <c r="F75" s="27" t="inlineStr">
        <is>
          <t>Этап крепления: Экспл. колонна ОК-245</t>
        </is>
      </c>
      <c r="G75" s="25" t="n"/>
      <c r="H75" s="28">
        <f>Справочник!$E$24</f>
        <v/>
      </c>
      <c r="I75" s="28">
        <f>H75-E75</f>
        <v/>
      </c>
      <c r="J75" s="29" t="n">
        <v>46346</v>
      </c>
      <c r="K75" s="28">
        <f>G83</f>
        <v/>
      </c>
      <c r="L75" s="25">
        <f>H75-K75</f>
        <v/>
      </c>
      <c r="M75" s="25">
        <f>IF(L75&lt;0,"СРЫВ ГРАФИКА",IF(L75&lt;14,"РИСК","В ГРАФИКЕ"))</f>
        <v/>
      </c>
      <c r="N75" s="30" t="inlineStr"/>
    </row>
    <row r="76" outlineLevel="1" ht="24" customHeight="1">
      <c r="A76" s="31" t="n">
        <v>1</v>
      </c>
      <c r="B76" s="32">
        <f>Справочник!$B$6</f>
        <v/>
      </c>
      <c r="C76" s="31" t="n"/>
      <c r="D76" s="31" t="n"/>
      <c r="E76" s="31">
        <f>Справочник!$E$6</f>
        <v/>
      </c>
      <c r="F76" s="33">
        <f>J75</f>
        <v/>
      </c>
      <c r="G76" s="33">
        <f>F76+E76</f>
        <v/>
      </c>
      <c r="H76" s="31" t="n"/>
      <c r="I76" s="31" t="n"/>
      <c r="J76" s="31" t="n"/>
      <c r="K76" s="31" t="n"/>
      <c r="L76" s="31" t="n"/>
      <c r="M76" s="31" t="n"/>
      <c r="N76" s="31" t="n"/>
    </row>
    <row r="77" outlineLevel="1" ht="24" customHeight="1">
      <c r="A77" s="11" t="n">
        <v>2</v>
      </c>
      <c r="B77" s="12">
        <f>Справочник!$B$7</f>
        <v/>
      </c>
      <c r="C77" s="11" t="n"/>
      <c r="D77" s="11" t="n"/>
      <c r="E77" s="11">
        <f>Справочник!$E$7</f>
        <v/>
      </c>
      <c r="F77" s="34">
        <f>G76</f>
        <v/>
      </c>
      <c r="G77" s="34">
        <f>F77+E77</f>
        <v/>
      </c>
      <c r="H77" s="11" t="n"/>
      <c r="I77" s="11" t="n"/>
      <c r="J77" s="11" t="n"/>
      <c r="K77" s="11" t="n"/>
      <c r="L77" s="11" t="n"/>
      <c r="M77" s="11" t="n"/>
      <c r="N77" s="11" t="n"/>
    </row>
    <row r="78" outlineLevel="1" ht="24" customHeight="1">
      <c r="A78" s="31" t="n">
        <v>3</v>
      </c>
      <c r="B78" s="32">
        <f>Справочник!$B$8</f>
        <v/>
      </c>
      <c r="C78" s="31" t="n"/>
      <c r="D78" s="31" t="n"/>
      <c r="E78" s="31">
        <f>Справочник!$E$8</f>
        <v/>
      </c>
      <c r="F78" s="33">
        <f>G77</f>
        <v/>
      </c>
      <c r="G78" s="33">
        <f>F78+E78</f>
        <v/>
      </c>
      <c r="H78" s="31" t="n"/>
      <c r="I78" s="31" t="n"/>
      <c r="J78" s="31" t="n"/>
      <c r="K78" s="31" t="n"/>
      <c r="L78" s="31" t="n"/>
      <c r="M78" s="31" t="n"/>
      <c r="N78" s="31" t="n"/>
    </row>
    <row r="79" outlineLevel="1" ht="24" customHeight="1">
      <c r="A79" s="11" t="n">
        <v>4</v>
      </c>
      <c r="B79" s="12">
        <f>Справочник!$B$9</f>
        <v/>
      </c>
      <c r="C79" s="11" t="n"/>
      <c r="D79" s="11" t="n"/>
      <c r="E79" s="11">
        <f>Справочник!$E$9</f>
        <v/>
      </c>
      <c r="F79" s="34">
        <f>G78</f>
        <v/>
      </c>
      <c r="G79" s="34">
        <f>F79+E79</f>
        <v/>
      </c>
      <c r="H79" s="11" t="n"/>
      <c r="I79" s="11" t="n"/>
      <c r="J79" s="11" t="n"/>
      <c r="K79" s="11" t="n"/>
      <c r="L79" s="11" t="n"/>
      <c r="M79" s="11" t="n"/>
      <c r="N79" s="11" t="n"/>
    </row>
    <row r="80" outlineLevel="1" ht="24" customHeight="1">
      <c r="A80" s="31" t="n">
        <v>5</v>
      </c>
      <c r="B80" s="32">
        <f>Справочник!$B$10</f>
        <v/>
      </c>
      <c r="C80" s="31" t="n"/>
      <c r="D80" s="31" t="n"/>
      <c r="E80" s="31">
        <f>Справочник!$E$10</f>
        <v/>
      </c>
      <c r="F80" s="33">
        <f>G79</f>
        <v/>
      </c>
      <c r="G80" s="33">
        <f>F80+E80</f>
        <v/>
      </c>
      <c r="H80" s="31" t="n"/>
      <c r="I80" s="31" t="n"/>
      <c r="J80" s="31" t="n"/>
      <c r="K80" s="31" t="n"/>
      <c r="L80" s="31" t="n"/>
      <c r="M80" s="31" t="n"/>
      <c r="N80" s="31" t="n"/>
    </row>
    <row r="81" outlineLevel="1" ht="24" customHeight="1">
      <c r="A81" s="11" t="n">
        <v>6</v>
      </c>
      <c r="B81" s="12">
        <f>Справочник!$B$11</f>
        <v/>
      </c>
      <c r="C81" s="11" t="n"/>
      <c r="D81" s="11" t="n"/>
      <c r="E81" s="11">
        <f>Справочник!$E$11</f>
        <v/>
      </c>
      <c r="F81" s="34">
        <f>G80</f>
        <v/>
      </c>
      <c r="G81" s="34">
        <f>F81+E81</f>
        <v/>
      </c>
      <c r="H81" s="11" t="n"/>
      <c r="I81" s="11" t="n"/>
      <c r="J81" s="11" t="n"/>
      <c r="K81" s="11" t="n"/>
      <c r="L81" s="11" t="n"/>
      <c r="M81" s="11" t="n"/>
      <c r="N81" s="11" t="n"/>
    </row>
    <row r="82" outlineLevel="1" ht="24" customHeight="1">
      <c r="A82" s="31" t="n">
        <v>7</v>
      </c>
      <c r="B82" s="32">
        <f>Справочник!$B$12</f>
        <v/>
      </c>
      <c r="C82" s="31" t="n"/>
      <c r="D82" s="31" t="n"/>
      <c r="E82" s="31">
        <f>Справочник!$E$12</f>
        <v/>
      </c>
      <c r="F82" s="33">
        <f>G81</f>
        <v/>
      </c>
      <c r="G82" s="33">
        <f>F82+E82</f>
        <v/>
      </c>
      <c r="H82" s="31" t="n"/>
      <c r="I82" s="31" t="n"/>
      <c r="J82" s="31" t="n"/>
      <c r="K82" s="31" t="n"/>
      <c r="L82" s="31" t="n"/>
      <c r="M82" s="31" t="n"/>
      <c r="N82" s="31" t="n"/>
    </row>
    <row r="83" outlineLevel="1" ht="24" customHeight="1">
      <c r="A83" s="11" t="n">
        <v>8</v>
      </c>
      <c r="B83" s="12">
        <f>Справочник!$B$13</f>
        <v/>
      </c>
      <c r="C83" s="11" t="n"/>
      <c r="D83" s="11" t="n"/>
      <c r="E83" s="11">
        <f>Справочник!$E$13</f>
        <v/>
      </c>
      <c r="F83" s="34">
        <f>G82</f>
        <v/>
      </c>
      <c r="G83" s="34">
        <f>F83+E83</f>
        <v/>
      </c>
      <c r="H83" s="11" t="n"/>
      <c r="I83" s="11" t="n"/>
      <c r="J83" s="11" t="n"/>
      <c r="K83" s="11" t="n"/>
      <c r="L83" s="11" t="n"/>
      <c r="M83" s="11" t="n"/>
      <c r="N83" s="11" t="n"/>
    </row>
    <row r="85" ht="30" customHeight="1">
      <c r="A85" s="25" t="n">
        <v>9</v>
      </c>
      <c r="B85" s="26" t="inlineStr">
        <is>
          <t>Тех.оснастка (ОК-426)</t>
        </is>
      </c>
      <c r="C85" s="25">
        <f>Справочник!$C$41</f>
        <v/>
      </c>
      <c r="D85" s="25">
        <f>Справочник!$G$41</f>
        <v/>
      </c>
      <c r="E85" s="25">
        <f>SUM(E86:E93)</f>
        <v/>
      </c>
      <c r="F85" s="27" t="inlineStr">
        <is>
          <t>Этап крепления: Направление ОК-426</t>
        </is>
      </c>
      <c r="G85" s="25" t="n"/>
      <c r="H85" s="28">
        <f>Справочник!$E$22</f>
        <v/>
      </c>
      <c r="I85" s="28">
        <f>H85-E85</f>
        <v/>
      </c>
      <c r="J85" s="29" t="n">
        <v>46319</v>
      </c>
      <c r="K85" s="28">
        <f>G93</f>
        <v/>
      </c>
      <c r="L85" s="25">
        <f>H85-K85</f>
        <v/>
      </c>
      <c r="M85" s="25">
        <f>IF(L85&lt;0,"СРЫВ ГРАФИКА",IF(L85&lt;14,"РИСК","В ГРАФИКЕ"))</f>
        <v/>
      </c>
      <c r="N85" s="30" t="inlineStr"/>
    </row>
    <row r="86" outlineLevel="1" ht="24" customHeight="1">
      <c r="A86" s="31" t="n">
        <v>1</v>
      </c>
      <c r="B86" s="32">
        <f>Справочник!$B$6</f>
        <v/>
      </c>
      <c r="C86" s="31" t="n"/>
      <c r="D86" s="31" t="n"/>
      <c r="E86" s="31">
        <f>Справочник!$F$6</f>
        <v/>
      </c>
      <c r="F86" s="33">
        <f>J85</f>
        <v/>
      </c>
      <c r="G86" s="33">
        <f>F86+E86</f>
        <v/>
      </c>
      <c r="H86" s="31" t="n"/>
      <c r="I86" s="31" t="n"/>
      <c r="J86" s="31" t="n"/>
      <c r="K86" s="31" t="n"/>
      <c r="L86" s="31" t="n"/>
      <c r="M86" s="31" t="n"/>
      <c r="N86" s="31" t="n"/>
    </row>
    <row r="87" outlineLevel="1" ht="24" customHeight="1">
      <c r="A87" s="11" t="n">
        <v>2</v>
      </c>
      <c r="B87" s="12">
        <f>Справочник!$B$7</f>
        <v/>
      </c>
      <c r="C87" s="11" t="n"/>
      <c r="D87" s="11" t="n"/>
      <c r="E87" s="11">
        <f>Справочник!$F$7</f>
        <v/>
      </c>
      <c r="F87" s="34">
        <f>G86</f>
        <v/>
      </c>
      <c r="G87" s="34">
        <f>F87+E87</f>
        <v/>
      </c>
      <c r="H87" s="11" t="n"/>
      <c r="I87" s="11" t="n"/>
      <c r="J87" s="11" t="n"/>
      <c r="K87" s="11" t="n"/>
      <c r="L87" s="11" t="n"/>
      <c r="M87" s="11" t="n"/>
      <c r="N87" s="11" t="n"/>
    </row>
    <row r="88" outlineLevel="1" ht="24" customHeight="1">
      <c r="A88" s="31" t="n">
        <v>3</v>
      </c>
      <c r="B88" s="32">
        <f>Справочник!$B$8</f>
        <v/>
      </c>
      <c r="C88" s="31" t="n"/>
      <c r="D88" s="31" t="n"/>
      <c r="E88" s="31">
        <f>Справочник!$F$8</f>
        <v/>
      </c>
      <c r="F88" s="33">
        <f>G87</f>
        <v/>
      </c>
      <c r="G88" s="33">
        <f>F88+E88</f>
        <v/>
      </c>
      <c r="H88" s="31" t="n"/>
      <c r="I88" s="31" t="n"/>
      <c r="J88" s="31" t="n"/>
      <c r="K88" s="31" t="n"/>
      <c r="L88" s="31" t="n"/>
      <c r="M88" s="31" t="n"/>
      <c r="N88" s="31" t="n"/>
    </row>
    <row r="89" outlineLevel="1" ht="24" customHeight="1">
      <c r="A89" s="11" t="n">
        <v>4</v>
      </c>
      <c r="B89" s="12">
        <f>Справочник!$B$9</f>
        <v/>
      </c>
      <c r="C89" s="11" t="n"/>
      <c r="D89" s="11" t="n"/>
      <c r="E89" s="11">
        <f>Справочник!$F$9</f>
        <v/>
      </c>
      <c r="F89" s="34">
        <f>G88</f>
        <v/>
      </c>
      <c r="G89" s="34">
        <f>F89+E89</f>
        <v/>
      </c>
      <c r="H89" s="11" t="n"/>
      <c r="I89" s="11" t="n"/>
      <c r="J89" s="11" t="n"/>
      <c r="K89" s="11" t="n"/>
      <c r="L89" s="11" t="n"/>
      <c r="M89" s="11" t="n"/>
      <c r="N89" s="11" t="n"/>
    </row>
    <row r="90" outlineLevel="1" ht="24" customHeight="1">
      <c r="A90" s="31" t="n">
        <v>5</v>
      </c>
      <c r="B90" s="32">
        <f>Справочник!$B$10</f>
        <v/>
      </c>
      <c r="C90" s="31" t="n"/>
      <c r="D90" s="31" t="n"/>
      <c r="E90" s="31">
        <f>Справочник!$F$10</f>
        <v/>
      </c>
      <c r="F90" s="33">
        <f>G89</f>
        <v/>
      </c>
      <c r="G90" s="33">
        <f>F90+E90</f>
        <v/>
      </c>
      <c r="H90" s="31" t="n"/>
      <c r="I90" s="31" t="n"/>
      <c r="J90" s="31" t="n"/>
      <c r="K90" s="31" t="n"/>
      <c r="L90" s="31" t="n"/>
      <c r="M90" s="31" t="n"/>
      <c r="N90" s="31" t="n"/>
    </row>
    <row r="91" outlineLevel="1" ht="24" customHeight="1">
      <c r="A91" s="11" t="n">
        <v>6</v>
      </c>
      <c r="B91" s="12">
        <f>Справочник!$B$11</f>
        <v/>
      </c>
      <c r="C91" s="11" t="n"/>
      <c r="D91" s="11" t="n"/>
      <c r="E91" s="11">
        <f>Справочник!$F$11</f>
        <v/>
      </c>
      <c r="F91" s="34">
        <f>G90</f>
        <v/>
      </c>
      <c r="G91" s="34">
        <f>F91+E91</f>
        <v/>
      </c>
      <c r="H91" s="11" t="n"/>
      <c r="I91" s="11" t="n"/>
      <c r="J91" s="11" t="n"/>
      <c r="K91" s="11" t="n"/>
      <c r="L91" s="11" t="n"/>
      <c r="M91" s="11" t="n"/>
      <c r="N91" s="11" t="n"/>
    </row>
    <row r="92" outlineLevel="1" ht="24" customHeight="1">
      <c r="A92" s="31" t="n">
        <v>7</v>
      </c>
      <c r="B92" s="32">
        <f>Справочник!$B$12</f>
        <v/>
      </c>
      <c r="C92" s="31" t="n"/>
      <c r="D92" s="31" t="n"/>
      <c r="E92" s="31">
        <f>Справочник!$F$12</f>
        <v/>
      </c>
      <c r="F92" s="33">
        <f>G91</f>
        <v/>
      </c>
      <c r="G92" s="33">
        <f>F92+E92</f>
        <v/>
      </c>
      <c r="H92" s="31" t="n"/>
      <c r="I92" s="31" t="n"/>
      <c r="J92" s="31" t="n"/>
      <c r="K92" s="31" t="n"/>
      <c r="L92" s="31" t="n"/>
      <c r="M92" s="31" t="n"/>
      <c r="N92" s="31" t="n"/>
    </row>
    <row r="93" outlineLevel="1" ht="24" customHeight="1">
      <c r="A93" s="11" t="n">
        <v>8</v>
      </c>
      <c r="B93" s="12">
        <f>Справочник!$B$13</f>
        <v/>
      </c>
      <c r="C93" s="11" t="n"/>
      <c r="D93" s="11" t="n"/>
      <c r="E93" s="11">
        <f>Справочник!$F$13</f>
        <v/>
      </c>
      <c r="F93" s="34">
        <f>G92</f>
        <v/>
      </c>
      <c r="G93" s="34">
        <f>F93+E93</f>
        <v/>
      </c>
      <c r="H93" s="11" t="n"/>
      <c r="I93" s="11" t="n"/>
      <c r="J93" s="11" t="n"/>
      <c r="K93" s="11" t="n"/>
      <c r="L93" s="11" t="n"/>
      <c r="M93" s="11" t="n"/>
      <c r="N93" s="11" t="n"/>
    </row>
    <row r="95" ht="30" customHeight="1">
      <c r="A95" s="25" t="n">
        <v>10</v>
      </c>
      <c r="B95" s="26" t="inlineStr">
        <is>
          <t>Тех.оснастка (ОК-324)</t>
        </is>
      </c>
      <c r="C95" s="25">
        <f>Справочник!$C$42</f>
        <v/>
      </c>
      <c r="D95" s="25">
        <f>Справочник!$G$42</f>
        <v/>
      </c>
      <c r="E95" s="25">
        <f>SUM(E96:E103)</f>
        <v/>
      </c>
      <c r="F95" s="27" t="inlineStr">
        <is>
          <t>Этап крепления: Кондуктор ОК-324</t>
        </is>
      </c>
      <c r="G95" s="25" t="n"/>
      <c r="H95" s="28">
        <f>Справочник!$E$23</f>
        <v/>
      </c>
      <c r="I95" s="28">
        <f>H95-E95</f>
        <v/>
      </c>
      <c r="J95" s="29" t="n">
        <v>46334</v>
      </c>
      <c r="K95" s="28">
        <f>G103</f>
        <v/>
      </c>
      <c r="L95" s="25">
        <f>H95-K95</f>
        <v/>
      </c>
      <c r="M95" s="25">
        <f>IF(L95&lt;0,"СРЫВ ГРАФИКА",IF(L95&lt;14,"РИСК","В ГРАФИКЕ"))</f>
        <v/>
      </c>
      <c r="N95" s="30" t="inlineStr"/>
    </row>
    <row r="96" outlineLevel="1" ht="24" customHeight="1">
      <c r="A96" s="31" t="n">
        <v>1</v>
      </c>
      <c r="B96" s="32">
        <f>Справочник!$B$6</f>
        <v/>
      </c>
      <c r="C96" s="31" t="n"/>
      <c r="D96" s="31" t="n"/>
      <c r="E96" s="31">
        <f>Справочник!$F$6</f>
        <v/>
      </c>
      <c r="F96" s="33">
        <f>J95</f>
        <v/>
      </c>
      <c r="G96" s="33">
        <f>F96+E96</f>
        <v/>
      </c>
      <c r="H96" s="31" t="n"/>
      <c r="I96" s="31" t="n"/>
      <c r="J96" s="31" t="n"/>
      <c r="K96" s="31" t="n"/>
      <c r="L96" s="31" t="n"/>
      <c r="M96" s="31" t="n"/>
      <c r="N96" s="31" t="n"/>
    </row>
    <row r="97" outlineLevel="1" ht="24" customHeight="1">
      <c r="A97" s="11" t="n">
        <v>2</v>
      </c>
      <c r="B97" s="12">
        <f>Справочник!$B$7</f>
        <v/>
      </c>
      <c r="C97" s="11" t="n"/>
      <c r="D97" s="11" t="n"/>
      <c r="E97" s="11">
        <f>Справочник!$F$7</f>
        <v/>
      </c>
      <c r="F97" s="34">
        <f>G96</f>
        <v/>
      </c>
      <c r="G97" s="34">
        <f>F97+E97</f>
        <v/>
      </c>
      <c r="H97" s="11" t="n"/>
      <c r="I97" s="11" t="n"/>
      <c r="J97" s="11" t="n"/>
      <c r="K97" s="11" t="n"/>
      <c r="L97" s="11" t="n"/>
      <c r="M97" s="11" t="n"/>
      <c r="N97" s="11" t="n"/>
    </row>
    <row r="98" outlineLevel="1" ht="24" customHeight="1">
      <c r="A98" s="31" t="n">
        <v>3</v>
      </c>
      <c r="B98" s="32">
        <f>Справочник!$B$8</f>
        <v/>
      </c>
      <c r="C98" s="31" t="n"/>
      <c r="D98" s="31" t="n"/>
      <c r="E98" s="31">
        <f>Справочник!$F$8</f>
        <v/>
      </c>
      <c r="F98" s="33">
        <f>G97</f>
        <v/>
      </c>
      <c r="G98" s="33">
        <f>F98+E98</f>
        <v/>
      </c>
      <c r="H98" s="31" t="n"/>
      <c r="I98" s="31" t="n"/>
      <c r="J98" s="31" t="n"/>
      <c r="K98" s="31" t="n"/>
      <c r="L98" s="31" t="n"/>
      <c r="M98" s="31" t="n"/>
      <c r="N98" s="31" t="n"/>
    </row>
    <row r="99" outlineLevel="1" ht="24" customHeight="1">
      <c r="A99" s="11" t="n">
        <v>4</v>
      </c>
      <c r="B99" s="12">
        <f>Справочник!$B$9</f>
        <v/>
      </c>
      <c r="C99" s="11" t="n"/>
      <c r="D99" s="11" t="n"/>
      <c r="E99" s="11">
        <f>Справочник!$F$9</f>
        <v/>
      </c>
      <c r="F99" s="34">
        <f>G98</f>
        <v/>
      </c>
      <c r="G99" s="34">
        <f>F99+E99</f>
        <v/>
      </c>
      <c r="H99" s="11" t="n"/>
      <c r="I99" s="11" t="n"/>
      <c r="J99" s="11" t="n"/>
      <c r="K99" s="11" t="n"/>
      <c r="L99" s="11" t="n"/>
      <c r="M99" s="11" t="n"/>
      <c r="N99" s="11" t="n"/>
    </row>
    <row r="100" outlineLevel="1" ht="24" customHeight="1">
      <c r="A100" s="31" t="n">
        <v>5</v>
      </c>
      <c r="B100" s="32">
        <f>Справочник!$B$10</f>
        <v/>
      </c>
      <c r="C100" s="31" t="n"/>
      <c r="D100" s="31" t="n"/>
      <c r="E100" s="31">
        <f>Справочник!$F$10</f>
        <v/>
      </c>
      <c r="F100" s="33">
        <f>G99</f>
        <v/>
      </c>
      <c r="G100" s="33">
        <f>F100+E100</f>
        <v/>
      </c>
      <c r="H100" s="31" t="n"/>
      <c r="I100" s="31" t="n"/>
      <c r="J100" s="31" t="n"/>
      <c r="K100" s="31" t="n"/>
      <c r="L100" s="31" t="n"/>
      <c r="M100" s="31" t="n"/>
      <c r="N100" s="31" t="n"/>
    </row>
    <row r="101" outlineLevel="1" ht="24" customHeight="1">
      <c r="A101" s="11" t="n">
        <v>6</v>
      </c>
      <c r="B101" s="12">
        <f>Справочник!$B$11</f>
        <v/>
      </c>
      <c r="C101" s="11" t="n"/>
      <c r="D101" s="11" t="n"/>
      <c r="E101" s="11">
        <f>Справочник!$F$11</f>
        <v/>
      </c>
      <c r="F101" s="34">
        <f>G100</f>
        <v/>
      </c>
      <c r="G101" s="34">
        <f>F101+E101</f>
        <v/>
      </c>
      <c r="H101" s="11" t="n"/>
      <c r="I101" s="11" t="n"/>
      <c r="J101" s="11" t="n"/>
      <c r="K101" s="11" t="n"/>
      <c r="L101" s="11" t="n"/>
      <c r="M101" s="11" t="n"/>
      <c r="N101" s="11" t="n"/>
    </row>
    <row r="102" outlineLevel="1" ht="24" customHeight="1">
      <c r="A102" s="31" t="n">
        <v>7</v>
      </c>
      <c r="B102" s="32">
        <f>Справочник!$B$12</f>
        <v/>
      </c>
      <c r="C102" s="31" t="n"/>
      <c r="D102" s="31" t="n"/>
      <c r="E102" s="31">
        <f>Справочник!$F$12</f>
        <v/>
      </c>
      <c r="F102" s="33">
        <f>G101</f>
        <v/>
      </c>
      <c r="G102" s="33">
        <f>F102+E102</f>
        <v/>
      </c>
      <c r="H102" s="31" t="n"/>
      <c r="I102" s="31" t="n"/>
      <c r="J102" s="31" t="n"/>
      <c r="K102" s="31" t="n"/>
      <c r="L102" s="31" t="n"/>
      <c r="M102" s="31" t="n"/>
      <c r="N102" s="31" t="n"/>
    </row>
    <row r="103" outlineLevel="1" ht="24" customHeight="1">
      <c r="A103" s="11" t="n">
        <v>8</v>
      </c>
      <c r="B103" s="12">
        <f>Справочник!$B$13</f>
        <v/>
      </c>
      <c r="C103" s="11" t="n"/>
      <c r="D103" s="11" t="n"/>
      <c r="E103" s="11">
        <f>Справочник!$F$13</f>
        <v/>
      </c>
      <c r="F103" s="34">
        <f>G102</f>
        <v/>
      </c>
      <c r="G103" s="34">
        <f>F103+E103</f>
        <v/>
      </c>
      <c r="H103" s="11" t="n"/>
      <c r="I103" s="11" t="n"/>
      <c r="J103" s="11" t="n"/>
      <c r="K103" s="11" t="n"/>
      <c r="L103" s="11" t="n"/>
      <c r="M103" s="11" t="n"/>
      <c r="N103" s="11" t="n"/>
    </row>
    <row r="105" ht="30" customHeight="1">
      <c r="A105" s="25" t="n">
        <v>11</v>
      </c>
      <c r="B105" s="26" t="inlineStr">
        <is>
          <t>Тех.оснастка (ОК-245)</t>
        </is>
      </c>
      <c r="C105" s="25">
        <f>Справочник!$C$43</f>
        <v/>
      </c>
      <c r="D105" s="25">
        <f>Справочник!$G$43</f>
        <v/>
      </c>
      <c r="E105" s="25">
        <f>SUM(E106:E113)</f>
        <v/>
      </c>
      <c r="F105" s="27" t="inlineStr">
        <is>
          <t>Этап крепления: Экспл. колонна ОК-245</t>
        </is>
      </c>
      <c r="G105" s="25" t="n"/>
      <c r="H105" s="28">
        <f>Справочник!$E$24</f>
        <v/>
      </c>
      <c r="I105" s="28">
        <f>H105-E105</f>
        <v/>
      </c>
      <c r="J105" s="29" t="n">
        <v>46365</v>
      </c>
      <c r="K105" s="28">
        <f>G113</f>
        <v/>
      </c>
      <c r="L105" s="25">
        <f>H105-K105</f>
        <v/>
      </c>
      <c r="M105" s="25">
        <f>IF(L105&lt;0,"СРЫВ ГРАФИКА",IF(L105&lt;14,"РИСК","В ГРАФИКЕ"))</f>
        <v/>
      </c>
      <c r="N105" s="30" t="inlineStr"/>
    </row>
    <row r="106" outlineLevel="1" ht="24" customHeight="1">
      <c r="A106" s="31" t="n">
        <v>1</v>
      </c>
      <c r="B106" s="32">
        <f>Справочник!$B$6</f>
        <v/>
      </c>
      <c r="C106" s="31" t="n"/>
      <c r="D106" s="31" t="n"/>
      <c r="E106" s="31">
        <f>Справочник!$F$6</f>
        <v/>
      </c>
      <c r="F106" s="33">
        <f>J105</f>
        <v/>
      </c>
      <c r="G106" s="33">
        <f>F106+E106</f>
        <v/>
      </c>
      <c r="H106" s="31" t="n"/>
      <c r="I106" s="31" t="n"/>
      <c r="J106" s="31" t="n"/>
      <c r="K106" s="31" t="n"/>
      <c r="L106" s="31" t="n"/>
      <c r="M106" s="31" t="n"/>
      <c r="N106" s="31" t="n"/>
    </row>
    <row r="107" outlineLevel="1" ht="24" customHeight="1">
      <c r="A107" s="11" t="n">
        <v>2</v>
      </c>
      <c r="B107" s="12">
        <f>Справочник!$B$7</f>
        <v/>
      </c>
      <c r="C107" s="11" t="n"/>
      <c r="D107" s="11" t="n"/>
      <c r="E107" s="11">
        <f>Справочник!$F$7</f>
        <v/>
      </c>
      <c r="F107" s="34">
        <f>G106</f>
        <v/>
      </c>
      <c r="G107" s="34">
        <f>F107+E107</f>
        <v/>
      </c>
      <c r="H107" s="11" t="n"/>
      <c r="I107" s="11" t="n"/>
      <c r="J107" s="11" t="n"/>
      <c r="K107" s="11" t="n"/>
      <c r="L107" s="11" t="n"/>
      <c r="M107" s="11" t="n"/>
      <c r="N107" s="11" t="n"/>
    </row>
    <row r="108" outlineLevel="1" ht="24" customHeight="1">
      <c r="A108" s="31" t="n">
        <v>3</v>
      </c>
      <c r="B108" s="32">
        <f>Справочник!$B$8</f>
        <v/>
      </c>
      <c r="C108" s="31" t="n"/>
      <c r="D108" s="31" t="n"/>
      <c r="E108" s="31">
        <f>Справочник!$F$8</f>
        <v/>
      </c>
      <c r="F108" s="33">
        <f>G107</f>
        <v/>
      </c>
      <c r="G108" s="33">
        <f>F108+E108</f>
        <v/>
      </c>
      <c r="H108" s="31" t="n"/>
      <c r="I108" s="31" t="n"/>
      <c r="J108" s="31" t="n"/>
      <c r="K108" s="31" t="n"/>
      <c r="L108" s="31" t="n"/>
      <c r="M108" s="31" t="n"/>
      <c r="N108" s="31" t="n"/>
    </row>
    <row r="109" outlineLevel="1" ht="24" customHeight="1">
      <c r="A109" s="11" t="n">
        <v>4</v>
      </c>
      <c r="B109" s="12">
        <f>Справочник!$B$9</f>
        <v/>
      </c>
      <c r="C109" s="11" t="n"/>
      <c r="D109" s="11" t="n"/>
      <c r="E109" s="11">
        <f>Справочник!$F$9</f>
        <v/>
      </c>
      <c r="F109" s="34">
        <f>G108</f>
        <v/>
      </c>
      <c r="G109" s="34">
        <f>F109+E109</f>
        <v/>
      </c>
      <c r="H109" s="11" t="n"/>
      <c r="I109" s="11" t="n"/>
      <c r="J109" s="11" t="n"/>
      <c r="K109" s="11" t="n"/>
      <c r="L109" s="11" t="n"/>
      <c r="M109" s="11" t="n"/>
      <c r="N109" s="11" t="n"/>
    </row>
    <row r="110" outlineLevel="1" ht="24" customHeight="1">
      <c r="A110" s="31" t="n">
        <v>5</v>
      </c>
      <c r="B110" s="32">
        <f>Справочник!$B$10</f>
        <v/>
      </c>
      <c r="C110" s="31" t="n"/>
      <c r="D110" s="31" t="n"/>
      <c r="E110" s="31">
        <f>Справочник!$F$10</f>
        <v/>
      </c>
      <c r="F110" s="33">
        <f>G109</f>
        <v/>
      </c>
      <c r="G110" s="33">
        <f>F110+E110</f>
        <v/>
      </c>
      <c r="H110" s="31" t="n"/>
      <c r="I110" s="31" t="n"/>
      <c r="J110" s="31" t="n"/>
      <c r="K110" s="31" t="n"/>
      <c r="L110" s="31" t="n"/>
      <c r="M110" s="31" t="n"/>
      <c r="N110" s="31" t="n"/>
    </row>
    <row r="111" outlineLevel="1" ht="24" customHeight="1">
      <c r="A111" s="11" t="n">
        <v>6</v>
      </c>
      <c r="B111" s="12">
        <f>Справочник!$B$11</f>
        <v/>
      </c>
      <c r="C111" s="11" t="n"/>
      <c r="D111" s="11" t="n"/>
      <c r="E111" s="11">
        <f>Справочник!$F$11</f>
        <v/>
      </c>
      <c r="F111" s="34">
        <f>G110</f>
        <v/>
      </c>
      <c r="G111" s="34">
        <f>F111+E111</f>
        <v/>
      </c>
      <c r="H111" s="11" t="n"/>
      <c r="I111" s="11" t="n"/>
      <c r="J111" s="11" t="n"/>
      <c r="K111" s="11" t="n"/>
      <c r="L111" s="11" t="n"/>
      <c r="M111" s="11" t="n"/>
      <c r="N111" s="11" t="n"/>
    </row>
    <row r="112" outlineLevel="1" ht="24" customHeight="1">
      <c r="A112" s="31" t="n">
        <v>7</v>
      </c>
      <c r="B112" s="32">
        <f>Справочник!$B$12</f>
        <v/>
      </c>
      <c r="C112" s="31" t="n"/>
      <c r="D112" s="31" t="n"/>
      <c r="E112" s="31">
        <f>Справочник!$F$12</f>
        <v/>
      </c>
      <c r="F112" s="33">
        <f>G111</f>
        <v/>
      </c>
      <c r="G112" s="33">
        <f>F112+E112</f>
        <v/>
      </c>
      <c r="H112" s="31" t="n"/>
      <c r="I112" s="31" t="n"/>
      <c r="J112" s="31" t="n"/>
      <c r="K112" s="31" t="n"/>
      <c r="L112" s="31" t="n"/>
      <c r="M112" s="31" t="n"/>
      <c r="N112" s="31" t="n"/>
    </row>
    <row r="113" outlineLevel="1" ht="24" customHeight="1">
      <c r="A113" s="11" t="n">
        <v>8</v>
      </c>
      <c r="B113" s="12">
        <f>Справочник!$B$13</f>
        <v/>
      </c>
      <c r="C113" s="11" t="n"/>
      <c r="D113" s="11" t="n"/>
      <c r="E113" s="11">
        <f>Справочник!$F$13</f>
        <v/>
      </c>
      <c r="F113" s="34">
        <f>G112</f>
        <v/>
      </c>
      <c r="G113" s="34">
        <f>F113+E113</f>
        <v/>
      </c>
      <c r="H113" s="11" t="n"/>
      <c r="I113" s="11" t="n"/>
      <c r="J113" s="11" t="n"/>
      <c r="K113" s="11" t="n"/>
      <c r="L113" s="11" t="n"/>
      <c r="M113" s="11" t="n"/>
      <c r="N113" s="11" t="n"/>
    </row>
    <row r="115" ht="30" customHeight="1">
      <c r="A115" s="25" t="n">
        <v>12</v>
      </c>
      <c r="B115" s="26" t="inlineStr">
        <is>
          <t>Тех.оснастка (ОК-168)</t>
        </is>
      </c>
      <c r="C115" s="25">
        <f>Справочник!$C$44</f>
        <v/>
      </c>
      <c r="D115" s="25">
        <f>Справочник!$G$44</f>
        <v/>
      </c>
      <c r="E115" s="25">
        <f>SUM(E116:E123)</f>
        <v/>
      </c>
      <c r="F115" s="27" t="inlineStr">
        <is>
          <t>Этап крепления: Хвостовик ОК-168</t>
        </is>
      </c>
      <c r="G115" s="25" t="n"/>
      <c r="H115" s="28">
        <f>Справочник!$E$25</f>
        <v/>
      </c>
      <c r="I115" s="28">
        <f>H115-E115</f>
        <v/>
      </c>
      <c r="J115" s="29" t="n">
        <v>46380</v>
      </c>
      <c r="K115" s="28">
        <f>G123</f>
        <v/>
      </c>
      <c r="L115" s="25">
        <f>H115-K115</f>
        <v/>
      </c>
      <c r="M115" s="25">
        <f>IF(L115&lt;0,"СРЫВ ГРАФИКА",IF(L115&lt;14,"РИСК","В ГРАФИКЕ"))</f>
        <v/>
      </c>
      <c r="N115" s="30" t="inlineStr"/>
    </row>
    <row r="116" outlineLevel="1" ht="24" customHeight="1">
      <c r="A116" s="31" t="n">
        <v>1</v>
      </c>
      <c r="B116" s="32">
        <f>Справочник!$B$6</f>
        <v/>
      </c>
      <c r="C116" s="31" t="n"/>
      <c r="D116" s="31" t="n"/>
      <c r="E116" s="31">
        <f>Справочник!$F$6</f>
        <v/>
      </c>
      <c r="F116" s="33">
        <f>J115</f>
        <v/>
      </c>
      <c r="G116" s="33">
        <f>F116+E116</f>
        <v/>
      </c>
      <c r="H116" s="31" t="n"/>
      <c r="I116" s="31" t="n"/>
      <c r="J116" s="31" t="n"/>
      <c r="K116" s="31" t="n"/>
      <c r="L116" s="31" t="n"/>
      <c r="M116" s="31" t="n"/>
      <c r="N116" s="31" t="n"/>
    </row>
    <row r="117" outlineLevel="1" ht="24" customHeight="1">
      <c r="A117" s="11" t="n">
        <v>2</v>
      </c>
      <c r="B117" s="12">
        <f>Справочник!$B$7</f>
        <v/>
      </c>
      <c r="C117" s="11" t="n"/>
      <c r="D117" s="11" t="n"/>
      <c r="E117" s="11">
        <f>Справочник!$F$7</f>
        <v/>
      </c>
      <c r="F117" s="34">
        <f>G116</f>
        <v/>
      </c>
      <c r="G117" s="34">
        <f>F117+E117</f>
        <v/>
      </c>
      <c r="H117" s="11" t="n"/>
      <c r="I117" s="11" t="n"/>
      <c r="J117" s="11" t="n"/>
      <c r="K117" s="11" t="n"/>
      <c r="L117" s="11" t="n"/>
      <c r="M117" s="11" t="n"/>
      <c r="N117" s="11" t="n"/>
    </row>
    <row r="118" outlineLevel="1" ht="24" customHeight="1">
      <c r="A118" s="31" t="n">
        <v>3</v>
      </c>
      <c r="B118" s="32">
        <f>Справочник!$B$8</f>
        <v/>
      </c>
      <c r="C118" s="31" t="n"/>
      <c r="D118" s="31" t="n"/>
      <c r="E118" s="31">
        <f>Справочник!$F$8</f>
        <v/>
      </c>
      <c r="F118" s="33">
        <f>G117</f>
        <v/>
      </c>
      <c r="G118" s="33">
        <f>F118+E118</f>
        <v/>
      </c>
      <c r="H118" s="31" t="n"/>
      <c r="I118" s="31" t="n"/>
      <c r="J118" s="31" t="n"/>
      <c r="K118" s="31" t="n"/>
      <c r="L118" s="31" t="n"/>
      <c r="M118" s="31" t="n"/>
      <c r="N118" s="31" t="n"/>
    </row>
    <row r="119" outlineLevel="1" ht="24" customHeight="1">
      <c r="A119" s="11" t="n">
        <v>4</v>
      </c>
      <c r="B119" s="12">
        <f>Справочник!$B$9</f>
        <v/>
      </c>
      <c r="C119" s="11" t="n"/>
      <c r="D119" s="11" t="n"/>
      <c r="E119" s="11">
        <f>Справочник!$F$9</f>
        <v/>
      </c>
      <c r="F119" s="34">
        <f>G118</f>
        <v/>
      </c>
      <c r="G119" s="34">
        <f>F119+E119</f>
        <v/>
      </c>
      <c r="H119" s="11" t="n"/>
      <c r="I119" s="11" t="n"/>
      <c r="J119" s="11" t="n"/>
      <c r="K119" s="11" t="n"/>
      <c r="L119" s="11" t="n"/>
      <c r="M119" s="11" t="n"/>
      <c r="N119" s="11" t="n"/>
    </row>
    <row r="120" outlineLevel="1" ht="24" customHeight="1">
      <c r="A120" s="31" t="n">
        <v>5</v>
      </c>
      <c r="B120" s="32">
        <f>Справочник!$B$10</f>
        <v/>
      </c>
      <c r="C120" s="31" t="n"/>
      <c r="D120" s="31" t="n"/>
      <c r="E120" s="31">
        <f>Справочник!$F$10</f>
        <v/>
      </c>
      <c r="F120" s="33">
        <f>G119</f>
        <v/>
      </c>
      <c r="G120" s="33">
        <f>F120+E120</f>
        <v/>
      </c>
      <c r="H120" s="31" t="n"/>
      <c r="I120" s="31" t="n"/>
      <c r="J120" s="31" t="n"/>
      <c r="K120" s="31" t="n"/>
      <c r="L120" s="31" t="n"/>
      <c r="M120" s="31" t="n"/>
      <c r="N120" s="31" t="n"/>
    </row>
    <row r="121" outlineLevel="1" ht="24" customHeight="1">
      <c r="A121" s="11" t="n">
        <v>6</v>
      </c>
      <c r="B121" s="12">
        <f>Справочник!$B$11</f>
        <v/>
      </c>
      <c r="C121" s="11" t="n"/>
      <c r="D121" s="11" t="n"/>
      <c r="E121" s="11">
        <f>Справочник!$F$11</f>
        <v/>
      </c>
      <c r="F121" s="34">
        <f>G120</f>
        <v/>
      </c>
      <c r="G121" s="34">
        <f>F121+E121</f>
        <v/>
      </c>
      <c r="H121" s="11" t="n"/>
      <c r="I121" s="11" t="n"/>
      <c r="J121" s="11" t="n"/>
      <c r="K121" s="11" t="n"/>
      <c r="L121" s="11" t="n"/>
      <c r="M121" s="11" t="n"/>
      <c r="N121" s="11" t="n"/>
    </row>
    <row r="122" outlineLevel="1" ht="24" customHeight="1">
      <c r="A122" s="31" t="n">
        <v>7</v>
      </c>
      <c r="B122" s="32">
        <f>Справочник!$B$12</f>
        <v/>
      </c>
      <c r="C122" s="31" t="n"/>
      <c r="D122" s="31" t="n"/>
      <c r="E122" s="31">
        <f>Справочник!$F$12</f>
        <v/>
      </c>
      <c r="F122" s="33">
        <f>G121</f>
        <v/>
      </c>
      <c r="G122" s="33">
        <f>F122+E122</f>
        <v/>
      </c>
      <c r="H122" s="31" t="n"/>
      <c r="I122" s="31" t="n"/>
      <c r="J122" s="31" t="n"/>
      <c r="K122" s="31" t="n"/>
      <c r="L122" s="31" t="n"/>
      <c r="M122" s="31" t="n"/>
      <c r="N122" s="31" t="n"/>
    </row>
    <row r="123" outlineLevel="1" ht="24" customHeight="1">
      <c r="A123" s="11" t="n">
        <v>8</v>
      </c>
      <c r="B123" s="12">
        <f>Справочник!$B$13</f>
        <v/>
      </c>
      <c r="C123" s="11" t="n"/>
      <c r="D123" s="11" t="n"/>
      <c r="E123" s="11">
        <f>Справочник!$F$13</f>
        <v/>
      </c>
      <c r="F123" s="34">
        <f>G122</f>
        <v/>
      </c>
      <c r="G123" s="34">
        <f>F123+E123</f>
        <v/>
      </c>
      <c r="H123" s="11" t="n"/>
      <c r="I123" s="11" t="n"/>
      <c r="J123" s="11" t="n"/>
      <c r="K123" s="11" t="n"/>
      <c r="L123" s="11" t="n"/>
      <c r="M123" s="11" t="n"/>
      <c r="N123" s="11" t="n"/>
    </row>
    <row r="125" ht="30" customHeight="1">
      <c r="A125" s="25" t="n">
        <v>13</v>
      </c>
      <c r="B125" s="26" t="inlineStr">
        <is>
          <t>Пакер набухающий термостойкий</t>
        </is>
      </c>
      <c r="C125" s="25">
        <f>Справочник!$C$45</f>
        <v/>
      </c>
      <c r="D125" s="25">
        <f>Справочник!$G$45</f>
        <v/>
      </c>
      <c r="E125" s="25">
        <f>SUM(E126:E133)</f>
        <v/>
      </c>
      <c r="F125" s="27" t="inlineStr">
        <is>
          <t>Этап крепления: Хвостовик ОК-168</t>
        </is>
      </c>
      <c r="G125" s="25" t="n"/>
      <c r="H125" s="28">
        <f>Справочник!$E$25</f>
        <v/>
      </c>
      <c r="I125" s="28">
        <f>H125-E125</f>
        <v/>
      </c>
      <c r="J125" s="29" t="n">
        <v>46341</v>
      </c>
      <c r="K125" s="28">
        <f>G133</f>
        <v/>
      </c>
      <c r="L125" s="25">
        <f>H125-K125</f>
        <v/>
      </c>
      <c r="M125" s="25">
        <f>IF(L125&lt;0,"СРЫВ ГРАФИКА",IF(L125&lt;14,"РИСК","В ГРАФИКЕ"))</f>
        <v/>
      </c>
      <c r="N125" s="30" t="inlineStr"/>
    </row>
    <row r="126" outlineLevel="1" ht="24" customHeight="1">
      <c r="A126" s="31" t="n">
        <v>1</v>
      </c>
      <c r="B126" s="32">
        <f>Справочник!$B$6</f>
        <v/>
      </c>
      <c r="C126" s="31" t="n"/>
      <c r="D126" s="31" t="n"/>
      <c r="E126" s="31">
        <f>Справочник!$G$6</f>
        <v/>
      </c>
      <c r="F126" s="33">
        <f>J125</f>
        <v/>
      </c>
      <c r="G126" s="33">
        <f>F126+E126</f>
        <v/>
      </c>
      <c r="H126" s="31" t="n"/>
      <c r="I126" s="31" t="n"/>
      <c r="J126" s="31" t="n"/>
      <c r="K126" s="31" t="n"/>
      <c r="L126" s="31" t="n"/>
      <c r="M126" s="31" t="n"/>
      <c r="N126" s="31" t="n"/>
    </row>
    <row r="127" outlineLevel="1" ht="24" customHeight="1">
      <c r="A127" s="11" t="n">
        <v>2</v>
      </c>
      <c r="B127" s="12">
        <f>Справочник!$B$7</f>
        <v/>
      </c>
      <c r="C127" s="11" t="n"/>
      <c r="D127" s="11" t="n"/>
      <c r="E127" s="11">
        <f>Справочник!$G$7</f>
        <v/>
      </c>
      <c r="F127" s="34">
        <f>G126</f>
        <v/>
      </c>
      <c r="G127" s="34">
        <f>F127+E127</f>
        <v/>
      </c>
      <c r="H127" s="11" t="n"/>
      <c r="I127" s="11" t="n"/>
      <c r="J127" s="11" t="n"/>
      <c r="K127" s="11" t="n"/>
      <c r="L127" s="11" t="n"/>
      <c r="M127" s="11" t="n"/>
      <c r="N127" s="11" t="n"/>
    </row>
    <row r="128" outlineLevel="1" ht="24" customHeight="1">
      <c r="A128" s="31" t="n">
        <v>3</v>
      </c>
      <c r="B128" s="32">
        <f>Справочник!$B$8</f>
        <v/>
      </c>
      <c r="C128" s="31" t="n"/>
      <c r="D128" s="31" t="n"/>
      <c r="E128" s="31">
        <f>Справочник!$G$8</f>
        <v/>
      </c>
      <c r="F128" s="33">
        <f>G127</f>
        <v/>
      </c>
      <c r="G128" s="33">
        <f>F128+E128</f>
        <v/>
      </c>
      <c r="H128" s="31" t="n"/>
      <c r="I128" s="31" t="n"/>
      <c r="J128" s="31" t="n"/>
      <c r="K128" s="31" t="n"/>
      <c r="L128" s="31" t="n"/>
      <c r="M128" s="31" t="n"/>
      <c r="N128" s="31" t="n"/>
    </row>
    <row r="129" outlineLevel="1" ht="24" customHeight="1">
      <c r="A129" s="11" t="n">
        <v>4</v>
      </c>
      <c r="B129" s="12">
        <f>Справочник!$B$9</f>
        <v/>
      </c>
      <c r="C129" s="11" t="n"/>
      <c r="D129" s="11" t="n"/>
      <c r="E129" s="11">
        <f>Справочник!$G$9</f>
        <v/>
      </c>
      <c r="F129" s="34">
        <f>G128</f>
        <v/>
      </c>
      <c r="G129" s="34">
        <f>F129+E129</f>
        <v/>
      </c>
      <c r="H129" s="11" t="n"/>
      <c r="I129" s="11" t="n"/>
      <c r="J129" s="11" t="n"/>
      <c r="K129" s="11" t="n"/>
      <c r="L129" s="11" t="n"/>
      <c r="M129" s="11" t="n"/>
      <c r="N129" s="11" t="n"/>
    </row>
    <row r="130" outlineLevel="1" ht="24" customHeight="1">
      <c r="A130" s="31" t="n">
        <v>5</v>
      </c>
      <c r="B130" s="32">
        <f>Справочник!$B$10</f>
        <v/>
      </c>
      <c r="C130" s="31" t="n"/>
      <c r="D130" s="31" t="n"/>
      <c r="E130" s="31">
        <f>Справочник!$G$10</f>
        <v/>
      </c>
      <c r="F130" s="33">
        <f>G129</f>
        <v/>
      </c>
      <c r="G130" s="33">
        <f>F130+E130</f>
        <v/>
      </c>
      <c r="H130" s="31" t="n"/>
      <c r="I130" s="31" t="n"/>
      <c r="J130" s="31" t="n"/>
      <c r="K130" s="31" t="n"/>
      <c r="L130" s="31" t="n"/>
      <c r="M130" s="31" t="n"/>
      <c r="N130" s="31" t="n"/>
    </row>
    <row r="131" outlineLevel="1" ht="24" customHeight="1">
      <c r="A131" s="11" t="n">
        <v>6</v>
      </c>
      <c r="B131" s="12">
        <f>Справочник!$B$11</f>
        <v/>
      </c>
      <c r="C131" s="11" t="n"/>
      <c r="D131" s="11" t="n"/>
      <c r="E131" s="11">
        <f>Справочник!$G$11</f>
        <v/>
      </c>
      <c r="F131" s="34">
        <f>G130</f>
        <v/>
      </c>
      <c r="G131" s="34">
        <f>F131+E131</f>
        <v/>
      </c>
      <c r="H131" s="11" t="n"/>
      <c r="I131" s="11" t="n"/>
      <c r="J131" s="11" t="n"/>
      <c r="K131" s="11" t="n"/>
      <c r="L131" s="11" t="n"/>
      <c r="M131" s="11" t="n"/>
      <c r="N131" s="11" t="n"/>
    </row>
    <row r="132" outlineLevel="1" ht="24" customHeight="1">
      <c r="A132" s="31" t="n">
        <v>7</v>
      </c>
      <c r="B132" s="32">
        <f>Справочник!$B$12</f>
        <v/>
      </c>
      <c r="C132" s="31" t="n"/>
      <c r="D132" s="31" t="n"/>
      <c r="E132" s="31">
        <f>Справочник!$G$12</f>
        <v/>
      </c>
      <c r="F132" s="33">
        <f>G131</f>
        <v/>
      </c>
      <c r="G132" s="33">
        <f>F132+E132</f>
        <v/>
      </c>
      <c r="H132" s="31" t="n"/>
      <c r="I132" s="31" t="n"/>
      <c r="J132" s="31" t="n"/>
      <c r="K132" s="31" t="n"/>
      <c r="L132" s="31" t="n"/>
      <c r="M132" s="31" t="n"/>
      <c r="N132" s="31" t="n"/>
    </row>
    <row r="133" outlineLevel="1" ht="24" customHeight="1">
      <c r="A133" s="11" t="n">
        <v>8</v>
      </c>
      <c r="B133" s="12">
        <f>Справочник!$B$13</f>
        <v/>
      </c>
      <c r="C133" s="11" t="n"/>
      <c r="D133" s="11" t="n"/>
      <c r="E133" s="11">
        <f>Справочник!$G$13</f>
        <v/>
      </c>
      <c r="F133" s="34">
        <f>G132</f>
        <v/>
      </c>
      <c r="G133" s="34">
        <f>F133+E133</f>
        <v/>
      </c>
      <c r="H133" s="11" t="n"/>
      <c r="I133" s="11" t="n"/>
      <c r="J133" s="11" t="n"/>
      <c r="K133" s="11" t="n"/>
      <c r="L133" s="11" t="n"/>
      <c r="M133" s="11" t="n"/>
      <c r="N133" s="11" t="n"/>
    </row>
    <row r="135" ht="30" customHeight="1">
      <c r="A135" s="25" t="n">
        <v>14</v>
      </c>
      <c r="B135" s="26" t="inlineStr">
        <is>
          <t>Разъединительный переводник 245/168</t>
        </is>
      </c>
      <c r="C135" s="25">
        <f>Справочник!$C$46</f>
        <v/>
      </c>
      <c r="D135" s="25">
        <f>Справочник!$G$46</f>
        <v/>
      </c>
      <c r="E135" s="25">
        <f>SUM(E136:E143)</f>
        <v/>
      </c>
      <c r="F135" s="27" t="inlineStr">
        <is>
          <t>Этап крепления: Хвостовик ОК-168</t>
        </is>
      </c>
      <c r="G135" s="25" t="n"/>
      <c r="H135" s="28">
        <f>Справочник!$E$25</f>
        <v/>
      </c>
      <c r="I135" s="28">
        <f>H135-E135</f>
        <v/>
      </c>
      <c r="J135" s="29" t="n">
        <v>46341</v>
      </c>
      <c r="K135" s="28">
        <f>G143</f>
        <v/>
      </c>
      <c r="L135" s="25">
        <f>H135-K135</f>
        <v/>
      </c>
      <c r="M135" s="25">
        <f>IF(L135&lt;0,"СРЫВ ГРАФИКА",IF(L135&lt;14,"РИСК","В ГРАФИКЕ"))</f>
        <v/>
      </c>
      <c r="N135" s="30" t="inlineStr"/>
    </row>
    <row r="136" outlineLevel="1" ht="24" customHeight="1">
      <c r="A136" s="31" t="n">
        <v>1</v>
      </c>
      <c r="B136" s="32">
        <f>Справочник!$B$6</f>
        <v/>
      </c>
      <c r="C136" s="31" t="n"/>
      <c r="D136" s="31" t="n"/>
      <c r="E136" s="31">
        <f>Справочник!$G$6</f>
        <v/>
      </c>
      <c r="F136" s="33">
        <f>J135</f>
        <v/>
      </c>
      <c r="G136" s="33">
        <f>F136+E136</f>
        <v/>
      </c>
      <c r="H136" s="31" t="n"/>
      <c r="I136" s="31" t="n"/>
      <c r="J136" s="31" t="n"/>
      <c r="K136" s="31" t="n"/>
      <c r="L136" s="31" t="n"/>
      <c r="M136" s="31" t="n"/>
      <c r="N136" s="31" t="n"/>
    </row>
    <row r="137" outlineLevel="1" ht="24" customHeight="1">
      <c r="A137" s="11" t="n">
        <v>2</v>
      </c>
      <c r="B137" s="12">
        <f>Справочник!$B$7</f>
        <v/>
      </c>
      <c r="C137" s="11" t="n"/>
      <c r="D137" s="11" t="n"/>
      <c r="E137" s="11">
        <f>Справочник!$G$7</f>
        <v/>
      </c>
      <c r="F137" s="34">
        <f>G136</f>
        <v/>
      </c>
      <c r="G137" s="34">
        <f>F137+E137</f>
        <v/>
      </c>
      <c r="H137" s="11" t="n"/>
      <c r="I137" s="11" t="n"/>
      <c r="J137" s="11" t="n"/>
      <c r="K137" s="11" t="n"/>
      <c r="L137" s="11" t="n"/>
      <c r="M137" s="11" t="n"/>
      <c r="N137" s="11" t="n"/>
    </row>
    <row r="138" outlineLevel="1" ht="24" customHeight="1">
      <c r="A138" s="31" t="n">
        <v>3</v>
      </c>
      <c r="B138" s="32">
        <f>Справочник!$B$8</f>
        <v/>
      </c>
      <c r="C138" s="31" t="n"/>
      <c r="D138" s="31" t="n"/>
      <c r="E138" s="31">
        <f>Справочник!$G$8</f>
        <v/>
      </c>
      <c r="F138" s="33">
        <f>G137</f>
        <v/>
      </c>
      <c r="G138" s="33">
        <f>F138+E138</f>
        <v/>
      </c>
      <c r="H138" s="31" t="n"/>
      <c r="I138" s="31" t="n"/>
      <c r="J138" s="31" t="n"/>
      <c r="K138" s="31" t="n"/>
      <c r="L138" s="31" t="n"/>
      <c r="M138" s="31" t="n"/>
      <c r="N138" s="31" t="n"/>
    </row>
    <row r="139" outlineLevel="1" ht="24" customHeight="1">
      <c r="A139" s="11" t="n">
        <v>4</v>
      </c>
      <c r="B139" s="12">
        <f>Справочник!$B$9</f>
        <v/>
      </c>
      <c r="C139" s="11" t="n"/>
      <c r="D139" s="11" t="n"/>
      <c r="E139" s="11">
        <f>Справочник!$G$9</f>
        <v/>
      </c>
      <c r="F139" s="34">
        <f>G138</f>
        <v/>
      </c>
      <c r="G139" s="34">
        <f>F139+E139</f>
        <v/>
      </c>
      <c r="H139" s="11" t="n"/>
      <c r="I139" s="11" t="n"/>
      <c r="J139" s="11" t="n"/>
      <c r="K139" s="11" t="n"/>
      <c r="L139" s="11" t="n"/>
      <c r="M139" s="11" t="n"/>
      <c r="N139" s="11" t="n"/>
    </row>
    <row r="140" outlineLevel="1" ht="24" customHeight="1">
      <c r="A140" s="31" t="n">
        <v>5</v>
      </c>
      <c r="B140" s="32">
        <f>Справочник!$B$10</f>
        <v/>
      </c>
      <c r="C140" s="31" t="n"/>
      <c r="D140" s="31" t="n"/>
      <c r="E140" s="31">
        <f>Справочник!$G$10</f>
        <v/>
      </c>
      <c r="F140" s="33">
        <f>G139</f>
        <v/>
      </c>
      <c r="G140" s="33">
        <f>F140+E140</f>
        <v/>
      </c>
      <c r="H140" s="31" t="n"/>
      <c r="I140" s="31" t="n"/>
      <c r="J140" s="31" t="n"/>
      <c r="K140" s="31" t="n"/>
      <c r="L140" s="31" t="n"/>
      <c r="M140" s="31" t="n"/>
      <c r="N140" s="31" t="n"/>
    </row>
    <row r="141" outlineLevel="1" ht="24" customHeight="1">
      <c r="A141" s="11" t="n">
        <v>6</v>
      </c>
      <c r="B141" s="12">
        <f>Справочник!$B$11</f>
        <v/>
      </c>
      <c r="C141" s="11" t="n"/>
      <c r="D141" s="11" t="n"/>
      <c r="E141" s="11">
        <f>Справочник!$G$11</f>
        <v/>
      </c>
      <c r="F141" s="34">
        <f>G140</f>
        <v/>
      </c>
      <c r="G141" s="34">
        <f>F141+E141</f>
        <v/>
      </c>
      <c r="H141" s="11" t="n"/>
      <c r="I141" s="11" t="n"/>
      <c r="J141" s="11" t="n"/>
      <c r="K141" s="11" t="n"/>
      <c r="L141" s="11" t="n"/>
      <c r="M141" s="11" t="n"/>
      <c r="N141" s="11" t="n"/>
    </row>
    <row r="142" outlineLevel="1" ht="24" customHeight="1">
      <c r="A142" s="31" t="n">
        <v>7</v>
      </c>
      <c r="B142" s="32">
        <f>Справочник!$B$12</f>
        <v/>
      </c>
      <c r="C142" s="31" t="n"/>
      <c r="D142" s="31" t="n"/>
      <c r="E142" s="31">
        <f>Справочник!$G$12</f>
        <v/>
      </c>
      <c r="F142" s="33">
        <f>G141</f>
        <v/>
      </c>
      <c r="G142" s="33">
        <f>F142+E142</f>
        <v/>
      </c>
      <c r="H142" s="31" t="n"/>
      <c r="I142" s="31" t="n"/>
      <c r="J142" s="31" t="n"/>
      <c r="K142" s="31" t="n"/>
      <c r="L142" s="31" t="n"/>
      <c r="M142" s="31" t="n"/>
      <c r="N142" s="31" t="n"/>
    </row>
    <row r="143" outlineLevel="1" ht="24" customHeight="1">
      <c r="A143" s="11" t="n">
        <v>8</v>
      </c>
      <c r="B143" s="12">
        <f>Справочник!$B$13</f>
        <v/>
      </c>
      <c r="C143" s="11" t="n"/>
      <c r="D143" s="11" t="n"/>
      <c r="E143" s="11">
        <f>Справочник!$G$13</f>
        <v/>
      </c>
      <c r="F143" s="34">
        <f>G142</f>
        <v/>
      </c>
      <c r="G143" s="34">
        <f>F143+E143</f>
        <v/>
      </c>
      <c r="H143" s="11" t="n"/>
      <c r="I143" s="11" t="n"/>
      <c r="J143" s="11" t="n"/>
      <c r="K143" s="11" t="n"/>
      <c r="L143" s="11" t="n"/>
      <c r="M143" s="11" t="n"/>
      <c r="N143" s="11" t="n"/>
    </row>
  </sheetData>
  <mergeCells count="16">
    <mergeCell ref="F75:G75"/>
    <mergeCell ref="F55:G55"/>
    <mergeCell ref="F95:G95"/>
    <mergeCell ref="F15:G15"/>
    <mergeCell ref="F125:G125"/>
    <mergeCell ref="F25:G25"/>
    <mergeCell ref="F5:G5"/>
    <mergeCell ref="A2:N2"/>
    <mergeCell ref="F65:G65"/>
    <mergeCell ref="F45:G45"/>
    <mergeCell ref="F85:G85"/>
    <mergeCell ref="F115:G115"/>
    <mergeCell ref="F135:G135"/>
    <mergeCell ref="F35:G35"/>
    <mergeCell ref="F105:G105"/>
    <mergeCell ref="A1:N1"/>
  </mergeCells>
  <conditionalFormatting sqref="L5:M143">
    <cfRule type="expression" priority="1" dxfId="0" stopIfTrue="1">
      <formula>$M5="В ГРАФИКЕ"</formula>
    </cfRule>
    <cfRule type="expression" priority="2" dxfId="1" stopIfTrue="1">
      <formula>$M5="РИСК"</formula>
    </cfRule>
    <cfRule type="expression" priority="3" dxfId="2" stopIfTrue="1">
      <formula>$M5="СРЫВ ГРАФИКА"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0" summaryRight="1"/>
    <pageSetUpPr fitToPage="1"/>
  </sheetPr>
  <dimension ref="A1:N14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8" customWidth="1" min="2" max="2"/>
    <col width="9" customWidth="1" min="3" max="3"/>
    <col width="10" customWidth="1" min="4" max="4"/>
    <col width="9" customWidth="1" min="5" max="5"/>
    <col width="12" customWidth="1" min="6" max="6"/>
    <col width="12" customWidth="1" min="7" max="7"/>
    <col width="13" customWidth="1" min="8" max="8"/>
    <col width="13" customWidth="1" min="9" max="9"/>
    <col width="14" customWidth="1" min="10" max="10"/>
    <col width="13" customWidth="1" min="11" max="11"/>
    <col width="10" customWidth="1" min="12" max="12"/>
    <col width="15" customWidth="1" min="13" max="13"/>
    <col width="52" customWidth="1" min="14" max="14"/>
  </cols>
  <sheetData>
    <row r="1">
      <c r="A1" s="1" t="inlineStr">
        <is>
          <t>ГРАФИК ЗАКУПКИ И ДОСТАВКИ МТР ДЛЯ КРЕПЛЕНИЯ СКВАЖИНЫ ЮГ-3</t>
        </is>
      </c>
    </row>
    <row r="2">
      <c r="A2" s="2" t="inlineStr">
        <is>
          <t>Дата формирования 15.09.2026. Даты потребности и длительности этапов — с листа «Справочник». Желтые ячейки (столбец J) — ввод фактической даты размещения заказа. Группировка слева сворачивает этапы.</t>
        </is>
      </c>
    </row>
    <row r="4" ht="46" customHeight="1">
      <c r="A4" s="10" t="inlineStr">
        <is>
          <t>№</t>
        </is>
      </c>
      <c r="B4" s="10" t="inlineStr">
        <is>
          <t>Наименование МТР / этапа закупки и доставки</t>
        </is>
      </c>
      <c r="C4" s="10" t="inlineStr">
        <is>
          <t>Ед. изм.</t>
        </is>
      </c>
      <c r="D4" s="10" t="inlineStr">
        <is>
          <t>Кол-во</t>
        </is>
      </c>
      <c r="E4" s="10" t="inlineStr">
        <is>
          <t>Длит., сут</t>
        </is>
      </c>
      <c r="F4" s="10" t="inlineStr">
        <is>
          <t>Начало этапа</t>
        </is>
      </c>
      <c r="G4" s="10" t="inlineStr">
        <is>
          <t>Окончание этапа</t>
        </is>
      </c>
      <c r="H4" s="10" t="inlineStr">
        <is>
          <t>ДАТА ПОТРЕБНОСТИ</t>
        </is>
      </c>
      <c r="I4" s="10" t="inlineStr">
        <is>
          <t>Требуемая дата старта</t>
        </is>
      </c>
      <c r="J4" s="10" t="inlineStr">
        <is>
          <t>Дата начала (план/факт)</t>
        </is>
      </c>
      <c r="K4" s="10" t="inlineStr">
        <is>
          <t>Прогноз поставки на скважину</t>
        </is>
      </c>
      <c r="L4" s="10" t="inlineStr">
        <is>
          <t>Запас, сут</t>
        </is>
      </c>
      <c r="M4" s="10" t="inlineStr">
        <is>
          <t>СТАТУС</t>
        </is>
      </c>
      <c r="N4" s="10" t="inlineStr">
        <is>
          <t>Примечание / компенсирующие мероприятия</t>
        </is>
      </c>
    </row>
    <row r="5" ht="30" customHeight="1">
      <c r="A5" s="25" t="n">
        <v>1</v>
      </c>
      <c r="B5" s="26" t="inlineStr">
        <is>
          <t>Цемент марки G (направление)</t>
        </is>
      </c>
      <c r="C5" s="25">
        <f>Справочник!$C$33</f>
        <v/>
      </c>
      <c r="D5" s="25">
        <f>Справочник!$H$33</f>
        <v/>
      </c>
      <c r="E5" s="25">
        <f>SUM(E6:E13)</f>
        <v/>
      </c>
      <c r="F5" s="27" t="inlineStr">
        <is>
          <t>Этап крепления: Направление ОК-426</t>
        </is>
      </c>
      <c r="G5" s="25" t="n"/>
      <c r="H5" s="28">
        <f>Справочник!$E$26</f>
        <v/>
      </c>
      <c r="I5" s="28">
        <f>H5-E5</f>
        <v/>
      </c>
      <c r="J5" s="29" t="n">
        <v>46403</v>
      </c>
      <c r="K5" s="28">
        <f>G13</f>
        <v/>
      </c>
      <c r="L5" s="25">
        <f>H5-K5</f>
        <v/>
      </c>
      <c r="M5" s="25">
        <f>IF(L5&lt;0,"СРЫВ ГРАФИКА",IF(L5&lt;14,"РИСК","В ГРАФИКЕ"))</f>
        <v/>
      </c>
      <c r="N5" s="30" t="inlineStr"/>
    </row>
    <row r="6" outlineLevel="1" ht="24" customHeight="1">
      <c r="A6" s="31" t="n">
        <v>1</v>
      </c>
      <c r="B6" s="32">
        <f>Справочник!$B$6</f>
        <v/>
      </c>
      <c r="C6" s="31" t="n"/>
      <c r="D6" s="31" t="n"/>
      <c r="E6" s="31">
        <f>Справочник!$C$6</f>
        <v/>
      </c>
      <c r="F6" s="33">
        <f>J5</f>
        <v/>
      </c>
      <c r="G6" s="33">
        <f>F6+E6</f>
        <v/>
      </c>
      <c r="H6" s="31" t="n"/>
      <c r="I6" s="31" t="n"/>
      <c r="J6" s="31" t="n"/>
      <c r="K6" s="31" t="n"/>
      <c r="L6" s="31" t="n"/>
      <c r="M6" s="31" t="n"/>
      <c r="N6" s="31" t="n"/>
    </row>
    <row r="7" outlineLevel="1" ht="24" customHeight="1">
      <c r="A7" s="11" t="n">
        <v>2</v>
      </c>
      <c r="B7" s="12">
        <f>Справочник!$B$7</f>
        <v/>
      </c>
      <c r="C7" s="11" t="n"/>
      <c r="D7" s="11" t="n"/>
      <c r="E7" s="11">
        <f>Справочник!$C$7</f>
        <v/>
      </c>
      <c r="F7" s="34">
        <f>G6</f>
        <v/>
      </c>
      <c r="G7" s="34">
        <f>F7+E7</f>
        <v/>
      </c>
      <c r="H7" s="11" t="n"/>
      <c r="I7" s="11" t="n"/>
      <c r="J7" s="11" t="n"/>
      <c r="K7" s="11" t="n"/>
      <c r="L7" s="11" t="n"/>
      <c r="M7" s="11" t="n"/>
      <c r="N7" s="11" t="n"/>
    </row>
    <row r="8" outlineLevel="1" ht="24" customHeight="1">
      <c r="A8" s="31" t="n">
        <v>3</v>
      </c>
      <c r="B8" s="32">
        <f>Справочник!$B$8</f>
        <v/>
      </c>
      <c r="C8" s="31" t="n"/>
      <c r="D8" s="31" t="n"/>
      <c r="E8" s="31">
        <f>Справочник!$C$8</f>
        <v/>
      </c>
      <c r="F8" s="33">
        <f>G7</f>
        <v/>
      </c>
      <c r="G8" s="33">
        <f>F8+E8</f>
        <v/>
      </c>
      <c r="H8" s="31" t="n"/>
      <c r="I8" s="31" t="n"/>
      <c r="J8" s="31" t="n"/>
      <c r="K8" s="31" t="n"/>
      <c r="L8" s="31" t="n"/>
      <c r="M8" s="31" t="n"/>
      <c r="N8" s="31" t="n"/>
    </row>
    <row r="9" outlineLevel="1" ht="24" customHeight="1">
      <c r="A9" s="11" t="n">
        <v>4</v>
      </c>
      <c r="B9" s="12">
        <f>Справочник!$B$9</f>
        <v/>
      </c>
      <c r="C9" s="11" t="n"/>
      <c r="D9" s="11" t="n"/>
      <c r="E9" s="11">
        <f>Справочник!$C$9</f>
        <v/>
      </c>
      <c r="F9" s="34">
        <f>G8</f>
        <v/>
      </c>
      <c r="G9" s="34">
        <f>F9+E9</f>
        <v/>
      </c>
      <c r="H9" s="11" t="n"/>
      <c r="I9" s="11" t="n"/>
      <c r="J9" s="11" t="n"/>
      <c r="K9" s="11" t="n"/>
      <c r="L9" s="11" t="n"/>
      <c r="M9" s="11" t="n"/>
      <c r="N9" s="11" t="n"/>
    </row>
    <row r="10" outlineLevel="1" ht="24" customHeight="1">
      <c r="A10" s="31" t="n">
        <v>5</v>
      </c>
      <c r="B10" s="32">
        <f>Справочник!$B$10</f>
        <v/>
      </c>
      <c r="C10" s="31" t="n"/>
      <c r="D10" s="31" t="n"/>
      <c r="E10" s="31">
        <f>Справочник!$C$10</f>
        <v/>
      </c>
      <c r="F10" s="33">
        <f>G9</f>
        <v/>
      </c>
      <c r="G10" s="33">
        <f>F10+E10</f>
        <v/>
      </c>
      <c r="H10" s="31" t="n"/>
      <c r="I10" s="31" t="n"/>
      <c r="J10" s="31" t="n"/>
      <c r="K10" s="31" t="n"/>
      <c r="L10" s="31" t="n"/>
      <c r="M10" s="31" t="n"/>
      <c r="N10" s="31" t="n"/>
    </row>
    <row r="11" outlineLevel="1" ht="24" customHeight="1">
      <c r="A11" s="11" t="n">
        <v>6</v>
      </c>
      <c r="B11" s="12">
        <f>Справочник!$B$11</f>
        <v/>
      </c>
      <c r="C11" s="11" t="n"/>
      <c r="D11" s="11" t="n"/>
      <c r="E11" s="11">
        <f>Справочник!$C$11</f>
        <v/>
      </c>
      <c r="F11" s="34">
        <f>G10</f>
        <v/>
      </c>
      <c r="G11" s="34">
        <f>F11+E11</f>
        <v/>
      </c>
      <c r="H11" s="11" t="n"/>
      <c r="I11" s="11" t="n"/>
      <c r="J11" s="11" t="n"/>
      <c r="K11" s="11" t="n"/>
      <c r="L11" s="11" t="n"/>
      <c r="M11" s="11" t="n"/>
      <c r="N11" s="11" t="n"/>
    </row>
    <row r="12" outlineLevel="1" ht="24" customHeight="1">
      <c r="A12" s="31" t="n">
        <v>7</v>
      </c>
      <c r="B12" s="32">
        <f>Справочник!$B$12</f>
        <v/>
      </c>
      <c r="C12" s="31" t="n"/>
      <c r="D12" s="31" t="n"/>
      <c r="E12" s="31">
        <f>Справочник!$C$12</f>
        <v/>
      </c>
      <c r="F12" s="33">
        <f>G11</f>
        <v/>
      </c>
      <c r="G12" s="33">
        <f>F12+E12</f>
        <v/>
      </c>
      <c r="H12" s="31" t="n"/>
      <c r="I12" s="31" t="n"/>
      <c r="J12" s="31" t="n"/>
      <c r="K12" s="31" t="n"/>
      <c r="L12" s="31" t="n"/>
      <c r="M12" s="31" t="n"/>
      <c r="N12" s="31" t="n"/>
    </row>
    <row r="13" outlineLevel="1" ht="24" customHeight="1">
      <c r="A13" s="11" t="n">
        <v>8</v>
      </c>
      <c r="B13" s="12">
        <f>Справочник!$B$13</f>
        <v/>
      </c>
      <c r="C13" s="11" t="n"/>
      <c r="D13" s="11" t="n"/>
      <c r="E13" s="11">
        <f>Справочник!$C$13</f>
        <v/>
      </c>
      <c r="F13" s="34">
        <f>G12</f>
        <v/>
      </c>
      <c r="G13" s="34">
        <f>F13+E13</f>
        <v/>
      </c>
      <c r="H13" s="11" t="n"/>
      <c r="I13" s="11" t="n"/>
      <c r="J13" s="11" t="n"/>
      <c r="K13" s="11" t="n"/>
      <c r="L13" s="11" t="n"/>
      <c r="M13" s="11" t="n"/>
      <c r="N13" s="11" t="n"/>
    </row>
    <row r="15" ht="30" customHeight="1">
      <c r="A15" s="25" t="n">
        <v>2</v>
      </c>
      <c r="B15" s="26" t="inlineStr">
        <is>
          <t>Цементная смесь тяжелая (кондуктор)</t>
        </is>
      </c>
      <c r="C15" s="25">
        <f>Справочник!$C$34</f>
        <v/>
      </c>
      <c r="D15" s="25">
        <f>Справочник!$H$34</f>
        <v/>
      </c>
      <c r="E15" s="25">
        <f>SUM(E16:E23)</f>
        <v/>
      </c>
      <c r="F15" s="27" t="inlineStr">
        <is>
          <t>Этап крепления: Кондуктор ОК-324</t>
        </is>
      </c>
      <c r="G15" s="25" t="n"/>
      <c r="H15" s="28">
        <f>Справочник!$E$27</f>
        <v/>
      </c>
      <c r="I15" s="28">
        <f>H15-E15</f>
        <v/>
      </c>
      <c r="J15" s="29" t="n">
        <v>46418</v>
      </c>
      <c r="K15" s="28">
        <f>G23</f>
        <v/>
      </c>
      <c r="L15" s="25">
        <f>H15-K15</f>
        <v/>
      </c>
      <c r="M15" s="25">
        <f>IF(L15&lt;0,"СРЫВ ГРАФИКА",IF(L15&lt;14,"РИСК","В ГРАФИКЕ"))</f>
        <v/>
      </c>
      <c r="N15" s="30" t="inlineStr"/>
    </row>
    <row r="16" outlineLevel="1" ht="24" customHeight="1">
      <c r="A16" s="31" t="n">
        <v>1</v>
      </c>
      <c r="B16" s="32">
        <f>Справочник!$B$6</f>
        <v/>
      </c>
      <c r="C16" s="31" t="n"/>
      <c r="D16" s="31" t="n"/>
      <c r="E16" s="31">
        <f>Справочник!$C$6</f>
        <v/>
      </c>
      <c r="F16" s="33">
        <f>J15</f>
        <v/>
      </c>
      <c r="G16" s="33">
        <f>F16+E16</f>
        <v/>
      </c>
      <c r="H16" s="31" t="n"/>
      <c r="I16" s="31" t="n"/>
      <c r="J16" s="31" t="n"/>
      <c r="K16" s="31" t="n"/>
      <c r="L16" s="31" t="n"/>
      <c r="M16" s="31" t="n"/>
      <c r="N16" s="31" t="n"/>
    </row>
    <row r="17" outlineLevel="1" ht="24" customHeight="1">
      <c r="A17" s="11" t="n">
        <v>2</v>
      </c>
      <c r="B17" s="12">
        <f>Справочник!$B$7</f>
        <v/>
      </c>
      <c r="C17" s="11" t="n"/>
      <c r="D17" s="11" t="n"/>
      <c r="E17" s="11">
        <f>Справочник!$C$7</f>
        <v/>
      </c>
      <c r="F17" s="34">
        <f>G16</f>
        <v/>
      </c>
      <c r="G17" s="34">
        <f>F17+E17</f>
        <v/>
      </c>
      <c r="H17" s="11" t="n"/>
      <c r="I17" s="11" t="n"/>
      <c r="J17" s="11" t="n"/>
      <c r="K17" s="11" t="n"/>
      <c r="L17" s="11" t="n"/>
      <c r="M17" s="11" t="n"/>
      <c r="N17" s="11" t="n"/>
    </row>
    <row r="18" outlineLevel="1" ht="24" customHeight="1">
      <c r="A18" s="31" t="n">
        <v>3</v>
      </c>
      <c r="B18" s="32">
        <f>Справочник!$B$8</f>
        <v/>
      </c>
      <c r="C18" s="31" t="n"/>
      <c r="D18" s="31" t="n"/>
      <c r="E18" s="31">
        <f>Справочник!$C$8</f>
        <v/>
      </c>
      <c r="F18" s="33">
        <f>G17</f>
        <v/>
      </c>
      <c r="G18" s="33">
        <f>F18+E18</f>
        <v/>
      </c>
      <c r="H18" s="31" t="n"/>
      <c r="I18" s="31" t="n"/>
      <c r="J18" s="31" t="n"/>
      <c r="K18" s="31" t="n"/>
      <c r="L18" s="31" t="n"/>
      <c r="M18" s="31" t="n"/>
      <c r="N18" s="31" t="n"/>
    </row>
    <row r="19" outlineLevel="1" ht="24" customHeight="1">
      <c r="A19" s="11" t="n">
        <v>4</v>
      </c>
      <c r="B19" s="12">
        <f>Справочник!$B$9</f>
        <v/>
      </c>
      <c r="C19" s="11" t="n"/>
      <c r="D19" s="11" t="n"/>
      <c r="E19" s="11">
        <f>Справочник!$C$9</f>
        <v/>
      </c>
      <c r="F19" s="34">
        <f>G18</f>
        <v/>
      </c>
      <c r="G19" s="34">
        <f>F19+E19</f>
        <v/>
      </c>
      <c r="H19" s="11" t="n"/>
      <c r="I19" s="11" t="n"/>
      <c r="J19" s="11" t="n"/>
      <c r="K19" s="11" t="n"/>
      <c r="L19" s="11" t="n"/>
      <c r="M19" s="11" t="n"/>
      <c r="N19" s="11" t="n"/>
    </row>
    <row r="20" outlineLevel="1" ht="24" customHeight="1">
      <c r="A20" s="31" t="n">
        <v>5</v>
      </c>
      <c r="B20" s="32">
        <f>Справочник!$B$10</f>
        <v/>
      </c>
      <c r="C20" s="31" t="n"/>
      <c r="D20" s="31" t="n"/>
      <c r="E20" s="31">
        <f>Справочник!$C$10</f>
        <v/>
      </c>
      <c r="F20" s="33">
        <f>G19</f>
        <v/>
      </c>
      <c r="G20" s="33">
        <f>F20+E20</f>
        <v/>
      </c>
      <c r="H20" s="31" t="n"/>
      <c r="I20" s="31" t="n"/>
      <c r="J20" s="31" t="n"/>
      <c r="K20" s="31" t="n"/>
      <c r="L20" s="31" t="n"/>
      <c r="M20" s="31" t="n"/>
      <c r="N20" s="31" t="n"/>
    </row>
    <row r="21" outlineLevel="1" ht="24" customHeight="1">
      <c r="A21" s="11" t="n">
        <v>6</v>
      </c>
      <c r="B21" s="12">
        <f>Справочник!$B$11</f>
        <v/>
      </c>
      <c r="C21" s="11" t="n"/>
      <c r="D21" s="11" t="n"/>
      <c r="E21" s="11">
        <f>Справочник!$C$11</f>
        <v/>
      </c>
      <c r="F21" s="34">
        <f>G20</f>
        <v/>
      </c>
      <c r="G21" s="34">
        <f>F21+E21</f>
        <v/>
      </c>
      <c r="H21" s="11" t="n"/>
      <c r="I21" s="11" t="n"/>
      <c r="J21" s="11" t="n"/>
      <c r="K21" s="11" t="n"/>
      <c r="L21" s="11" t="n"/>
      <c r="M21" s="11" t="n"/>
      <c r="N21" s="11" t="n"/>
    </row>
    <row r="22" outlineLevel="1" ht="24" customHeight="1">
      <c r="A22" s="31" t="n">
        <v>7</v>
      </c>
      <c r="B22" s="32">
        <f>Справочник!$B$12</f>
        <v/>
      </c>
      <c r="C22" s="31" t="n"/>
      <c r="D22" s="31" t="n"/>
      <c r="E22" s="31">
        <f>Справочник!$C$12</f>
        <v/>
      </c>
      <c r="F22" s="33">
        <f>G21</f>
        <v/>
      </c>
      <c r="G22" s="33">
        <f>F22+E22</f>
        <v/>
      </c>
      <c r="H22" s="31" t="n"/>
      <c r="I22" s="31" t="n"/>
      <c r="J22" s="31" t="n"/>
      <c r="K22" s="31" t="n"/>
      <c r="L22" s="31" t="n"/>
      <c r="M22" s="31" t="n"/>
      <c r="N22" s="31" t="n"/>
    </row>
    <row r="23" outlineLevel="1" ht="24" customHeight="1">
      <c r="A23" s="11" t="n">
        <v>8</v>
      </c>
      <c r="B23" s="12">
        <f>Справочник!$B$13</f>
        <v/>
      </c>
      <c r="C23" s="11" t="n"/>
      <c r="D23" s="11" t="n"/>
      <c r="E23" s="11">
        <f>Справочник!$C$13</f>
        <v/>
      </c>
      <c r="F23" s="34">
        <f>G22</f>
        <v/>
      </c>
      <c r="G23" s="34">
        <f>F23+E23</f>
        <v/>
      </c>
      <c r="H23" s="11" t="n"/>
      <c r="I23" s="11" t="n"/>
      <c r="J23" s="11" t="n"/>
      <c r="K23" s="11" t="n"/>
      <c r="L23" s="11" t="n"/>
      <c r="M23" s="11" t="n"/>
      <c r="N23" s="11" t="n"/>
    </row>
    <row r="25" ht="30" customHeight="1">
      <c r="A25" s="25" t="n">
        <v>3</v>
      </c>
      <c r="B25" s="26" t="inlineStr">
        <is>
          <t>Цементная смесь тяжелая (экспл.колонна)</t>
        </is>
      </c>
      <c r="C25" s="25">
        <f>Справочник!$C$35</f>
        <v/>
      </c>
      <c r="D25" s="25">
        <f>Справочник!$H$35</f>
        <v/>
      </c>
      <c r="E25" s="25">
        <f>SUM(E26:E33)</f>
        <v/>
      </c>
      <c r="F25" s="27" t="inlineStr">
        <is>
          <t>Этап крепления: Экспл. колонна ОК-245</t>
        </is>
      </c>
      <c r="G25" s="25" t="n"/>
      <c r="H25" s="28">
        <f>Справочник!$E$28</f>
        <v/>
      </c>
      <c r="I25" s="28">
        <f>H25-E25</f>
        <v/>
      </c>
      <c r="J25" s="29" t="n">
        <v>46449</v>
      </c>
      <c r="K25" s="28">
        <f>G33</f>
        <v/>
      </c>
      <c r="L25" s="25">
        <f>H25-K25</f>
        <v/>
      </c>
      <c r="M25" s="25">
        <f>IF(L25&lt;0,"СРЫВ ГРАФИКА",IF(L25&lt;14,"РИСК","В ГРАФИКЕ"))</f>
        <v/>
      </c>
      <c r="N25" s="30" t="inlineStr"/>
    </row>
    <row r="26" outlineLevel="1" ht="24" customHeight="1">
      <c r="A26" s="31" t="n">
        <v>1</v>
      </c>
      <c r="B26" s="32">
        <f>Справочник!$B$6</f>
        <v/>
      </c>
      <c r="C26" s="31" t="n"/>
      <c r="D26" s="31" t="n"/>
      <c r="E26" s="31">
        <f>Справочник!$C$6</f>
        <v/>
      </c>
      <c r="F26" s="33">
        <f>J25</f>
        <v/>
      </c>
      <c r="G26" s="33">
        <f>F26+E26</f>
        <v/>
      </c>
      <c r="H26" s="31" t="n"/>
      <c r="I26" s="31" t="n"/>
      <c r="J26" s="31" t="n"/>
      <c r="K26" s="31" t="n"/>
      <c r="L26" s="31" t="n"/>
      <c r="M26" s="31" t="n"/>
      <c r="N26" s="31" t="n"/>
    </row>
    <row r="27" outlineLevel="1" ht="24" customHeight="1">
      <c r="A27" s="11" t="n">
        <v>2</v>
      </c>
      <c r="B27" s="12">
        <f>Справочник!$B$7</f>
        <v/>
      </c>
      <c r="C27" s="11" t="n"/>
      <c r="D27" s="11" t="n"/>
      <c r="E27" s="11">
        <f>Справочник!$C$7</f>
        <v/>
      </c>
      <c r="F27" s="34">
        <f>G26</f>
        <v/>
      </c>
      <c r="G27" s="34">
        <f>F27+E27</f>
        <v/>
      </c>
      <c r="H27" s="11" t="n"/>
      <c r="I27" s="11" t="n"/>
      <c r="J27" s="11" t="n"/>
      <c r="K27" s="11" t="n"/>
      <c r="L27" s="11" t="n"/>
      <c r="M27" s="11" t="n"/>
      <c r="N27" s="11" t="n"/>
    </row>
    <row r="28" outlineLevel="1" ht="24" customHeight="1">
      <c r="A28" s="31" t="n">
        <v>3</v>
      </c>
      <c r="B28" s="32">
        <f>Справочник!$B$8</f>
        <v/>
      </c>
      <c r="C28" s="31" t="n"/>
      <c r="D28" s="31" t="n"/>
      <c r="E28" s="31">
        <f>Справочник!$C$8</f>
        <v/>
      </c>
      <c r="F28" s="33">
        <f>G27</f>
        <v/>
      </c>
      <c r="G28" s="33">
        <f>F28+E28</f>
        <v/>
      </c>
      <c r="H28" s="31" t="n"/>
      <c r="I28" s="31" t="n"/>
      <c r="J28" s="31" t="n"/>
      <c r="K28" s="31" t="n"/>
      <c r="L28" s="31" t="n"/>
      <c r="M28" s="31" t="n"/>
      <c r="N28" s="31" t="n"/>
    </row>
    <row r="29" outlineLevel="1" ht="24" customHeight="1">
      <c r="A29" s="11" t="n">
        <v>4</v>
      </c>
      <c r="B29" s="12">
        <f>Справочник!$B$9</f>
        <v/>
      </c>
      <c r="C29" s="11" t="n"/>
      <c r="D29" s="11" t="n"/>
      <c r="E29" s="11">
        <f>Справочник!$C$9</f>
        <v/>
      </c>
      <c r="F29" s="34">
        <f>G28</f>
        <v/>
      </c>
      <c r="G29" s="34">
        <f>F29+E29</f>
        <v/>
      </c>
      <c r="H29" s="11" t="n"/>
      <c r="I29" s="11" t="n"/>
      <c r="J29" s="11" t="n"/>
      <c r="K29" s="11" t="n"/>
      <c r="L29" s="11" t="n"/>
      <c r="M29" s="11" t="n"/>
      <c r="N29" s="11" t="n"/>
    </row>
    <row r="30" outlineLevel="1" ht="24" customHeight="1">
      <c r="A30" s="31" t="n">
        <v>5</v>
      </c>
      <c r="B30" s="32">
        <f>Справочник!$B$10</f>
        <v/>
      </c>
      <c r="C30" s="31" t="n"/>
      <c r="D30" s="31" t="n"/>
      <c r="E30" s="31">
        <f>Справочник!$C$10</f>
        <v/>
      </c>
      <c r="F30" s="33">
        <f>G29</f>
        <v/>
      </c>
      <c r="G30" s="33">
        <f>F30+E30</f>
        <v/>
      </c>
      <c r="H30" s="31" t="n"/>
      <c r="I30" s="31" t="n"/>
      <c r="J30" s="31" t="n"/>
      <c r="K30" s="31" t="n"/>
      <c r="L30" s="31" t="n"/>
      <c r="M30" s="31" t="n"/>
      <c r="N30" s="31" t="n"/>
    </row>
    <row r="31" outlineLevel="1" ht="24" customHeight="1">
      <c r="A31" s="11" t="n">
        <v>6</v>
      </c>
      <c r="B31" s="12">
        <f>Справочник!$B$11</f>
        <v/>
      </c>
      <c r="C31" s="11" t="n"/>
      <c r="D31" s="11" t="n"/>
      <c r="E31" s="11">
        <f>Справочник!$C$11</f>
        <v/>
      </c>
      <c r="F31" s="34">
        <f>G30</f>
        <v/>
      </c>
      <c r="G31" s="34">
        <f>F31+E31</f>
        <v/>
      </c>
      <c r="H31" s="11" t="n"/>
      <c r="I31" s="11" t="n"/>
      <c r="J31" s="11" t="n"/>
      <c r="K31" s="11" t="n"/>
      <c r="L31" s="11" t="n"/>
      <c r="M31" s="11" t="n"/>
      <c r="N31" s="11" t="n"/>
    </row>
    <row r="32" outlineLevel="1" ht="24" customHeight="1">
      <c r="A32" s="31" t="n">
        <v>7</v>
      </c>
      <c r="B32" s="32">
        <f>Справочник!$B$12</f>
        <v/>
      </c>
      <c r="C32" s="31" t="n"/>
      <c r="D32" s="31" t="n"/>
      <c r="E32" s="31">
        <f>Справочник!$C$12</f>
        <v/>
      </c>
      <c r="F32" s="33">
        <f>G31</f>
        <v/>
      </c>
      <c r="G32" s="33">
        <f>F32+E32</f>
        <v/>
      </c>
      <c r="H32" s="31" t="n"/>
      <c r="I32" s="31" t="n"/>
      <c r="J32" s="31" t="n"/>
      <c r="K32" s="31" t="n"/>
      <c r="L32" s="31" t="n"/>
      <c r="M32" s="31" t="n"/>
      <c r="N32" s="31" t="n"/>
    </row>
    <row r="33" outlineLevel="1" ht="24" customHeight="1">
      <c r="A33" s="11" t="n">
        <v>8</v>
      </c>
      <c r="B33" s="12">
        <f>Справочник!$B$13</f>
        <v/>
      </c>
      <c r="C33" s="11" t="n"/>
      <c r="D33" s="11" t="n"/>
      <c r="E33" s="11">
        <f>Справочник!$C$13</f>
        <v/>
      </c>
      <c r="F33" s="34">
        <f>G32</f>
        <v/>
      </c>
      <c r="G33" s="34">
        <f>F33+E33</f>
        <v/>
      </c>
      <c r="H33" s="11" t="n"/>
      <c r="I33" s="11" t="n"/>
      <c r="J33" s="11" t="n"/>
      <c r="K33" s="11" t="n"/>
      <c r="L33" s="11" t="n"/>
      <c r="M33" s="11" t="n"/>
      <c r="N33" s="11" t="n"/>
    </row>
    <row r="35" ht="30" customHeight="1">
      <c r="A35" s="25" t="n">
        <v>4</v>
      </c>
      <c r="B35" s="26" t="inlineStr">
        <is>
          <t>Цементная смесь легкая (экспл.колонна)</t>
        </is>
      </c>
      <c r="C35" s="25">
        <f>Справочник!$C$36</f>
        <v/>
      </c>
      <c r="D35" s="25">
        <f>Справочник!$H$36</f>
        <v/>
      </c>
      <c r="E35" s="25">
        <f>SUM(E36:E43)</f>
        <v/>
      </c>
      <c r="F35" s="27" t="inlineStr">
        <is>
          <t>Этап крепления: Экспл. колонна ОК-245</t>
        </is>
      </c>
      <c r="G35" s="25" t="n"/>
      <c r="H35" s="28">
        <f>Справочник!$E$28</f>
        <v/>
      </c>
      <c r="I35" s="28">
        <f>H35-E35</f>
        <v/>
      </c>
      <c r="J35" s="29" t="n">
        <v>46449</v>
      </c>
      <c r="K35" s="28">
        <f>G43</f>
        <v/>
      </c>
      <c r="L35" s="25">
        <f>H35-K35</f>
        <v/>
      </c>
      <c r="M35" s="25">
        <f>IF(L35&lt;0,"СРЫВ ГРАФИКА",IF(L35&lt;14,"РИСК","В ГРАФИКЕ"))</f>
        <v/>
      </c>
      <c r="N35" s="30" t="inlineStr"/>
    </row>
    <row r="36" outlineLevel="1" ht="24" customHeight="1">
      <c r="A36" s="31" t="n">
        <v>1</v>
      </c>
      <c r="B36" s="32">
        <f>Справочник!$B$6</f>
        <v/>
      </c>
      <c r="C36" s="31" t="n"/>
      <c r="D36" s="31" t="n"/>
      <c r="E36" s="31">
        <f>Справочник!$C$6</f>
        <v/>
      </c>
      <c r="F36" s="33">
        <f>J35</f>
        <v/>
      </c>
      <c r="G36" s="33">
        <f>F36+E36</f>
        <v/>
      </c>
      <c r="H36" s="31" t="n"/>
      <c r="I36" s="31" t="n"/>
      <c r="J36" s="31" t="n"/>
      <c r="K36" s="31" t="n"/>
      <c r="L36" s="31" t="n"/>
      <c r="M36" s="31" t="n"/>
      <c r="N36" s="31" t="n"/>
    </row>
    <row r="37" outlineLevel="1" ht="24" customHeight="1">
      <c r="A37" s="11" t="n">
        <v>2</v>
      </c>
      <c r="B37" s="12">
        <f>Справочник!$B$7</f>
        <v/>
      </c>
      <c r="C37" s="11" t="n"/>
      <c r="D37" s="11" t="n"/>
      <c r="E37" s="11">
        <f>Справочник!$C$7</f>
        <v/>
      </c>
      <c r="F37" s="34">
        <f>G36</f>
        <v/>
      </c>
      <c r="G37" s="34">
        <f>F37+E37</f>
        <v/>
      </c>
      <c r="H37" s="11" t="n"/>
      <c r="I37" s="11" t="n"/>
      <c r="J37" s="11" t="n"/>
      <c r="K37" s="11" t="n"/>
      <c r="L37" s="11" t="n"/>
      <c r="M37" s="11" t="n"/>
      <c r="N37" s="11" t="n"/>
    </row>
    <row r="38" outlineLevel="1" ht="24" customHeight="1">
      <c r="A38" s="31" t="n">
        <v>3</v>
      </c>
      <c r="B38" s="32">
        <f>Справочник!$B$8</f>
        <v/>
      </c>
      <c r="C38" s="31" t="n"/>
      <c r="D38" s="31" t="n"/>
      <c r="E38" s="31">
        <f>Справочник!$C$8</f>
        <v/>
      </c>
      <c r="F38" s="33">
        <f>G37</f>
        <v/>
      </c>
      <c r="G38" s="33">
        <f>F38+E38</f>
        <v/>
      </c>
      <c r="H38" s="31" t="n"/>
      <c r="I38" s="31" t="n"/>
      <c r="J38" s="31" t="n"/>
      <c r="K38" s="31" t="n"/>
      <c r="L38" s="31" t="n"/>
      <c r="M38" s="31" t="n"/>
      <c r="N38" s="31" t="n"/>
    </row>
    <row r="39" outlineLevel="1" ht="24" customHeight="1">
      <c r="A39" s="11" t="n">
        <v>4</v>
      </c>
      <c r="B39" s="12">
        <f>Справочник!$B$9</f>
        <v/>
      </c>
      <c r="C39" s="11" t="n"/>
      <c r="D39" s="11" t="n"/>
      <c r="E39" s="11">
        <f>Справочник!$C$9</f>
        <v/>
      </c>
      <c r="F39" s="34">
        <f>G38</f>
        <v/>
      </c>
      <c r="G39" s="34">
        <f>F39+E39</f>
        <v/>
      </c>
      <c r="H39" s="11" t="n"/>
      <c r="I39" s="11" t="n"/>
      <c r="J39" s="11" t="n"/>
      <c r="K39" s="11" t="n"/>
      <c r="L39" s="11" t="n"/>
      <c r="M39" s="11" t="n"/>
      <c r="N39" s="11" t="n"/>
    </row>
    <row r="40" outlineLevel="1" ht="24" customHeight="1">
      <c r="A40" s="31" t="n">
        <v>5</v>
      </c>
      <c r="B40" s="32">
        <f>Справочник!$B$10</f>
        <v/>
      </c>
      <c r="C40" s="31" t="n"/>
      <c r="D40" s="31" t="n"/>
      <c r="E40" s="31">
        <f>Справочник!$C$10</f>
        <v/>
      </c>
      <c r="F40" s="33">
        <f>G39</f>
        <v/>
      </c>
      <c r="G40" s="33">
        <f>F40+E40</f>
        <v/>
      </c>
      <c r="H40" s="31" t="n"/>
      <c r="I40" s="31" t="n"/>
      <c r="J40" s="31" t="n"/>
      <c r="K40" s="31" t="n"/>
      <c r="L40" s="31" t="n"/>
      <c r="M40" s="31" t="n"/>
      <c r="N40" s="31" t="n"/>
    </row>
    <row r="41" outlineLevel="1" ht="24" customHeight="1">
      <c r="A41" s="11" t="n">
        <v>6</v>
      </c>
      <c r="B41" s="12">
        <f>Справочник!$B$11</f>
        <v/>
      </c>
      <c r="C41" s="11" t="n"/>
      <c r="D41" s="11" t="n"/>
      <c r="E41" s="11">
        <f>Справочник!$C$11</f>
        <v/>
      </c>
      <c r="F41" s="34">
        <f>G40</f>
        <v/>
      </c>
      <c r="G41" s="34">
        <f>F41+E41</f>
        <v/>
      </c>
      <c r="H41" s="11" t="n"/>
      <c r="I41" s="11" t="n"/>
      <c r="J41" s="11" t="n"/>
      <c r="K41" s="11" t="n"/>
      <c r="L41" s="11" t="n"/>
      <c r="M41" s="11" t="n"/>
      <c r="N41" s="11" t="n"/>
    </row>
    <row r="42" outlineLevel="1" ht="24" customHeight="1">
      <c r="A42" s="31" t="n">
        <v>7</v>
      </c>
      <c r="B42" s="32">
        <f>Справочник!$B$12</f>
        <v/>
      </c>
      <c r="C42" s="31" t="n"/>
      <c r="D42" s="31" t="n"/>
      <c r="E42" s="31">
        <f>Справочник!$C$12</f>
        <v/>
      </c>
      <c r="F42" s="33">
        <f>G41</f>
        <v/>
      </c>
      <c r="G42" s="33">
        <f>F42+E42</f>
        <v/>
      </c>
      <c r="H42" s="31" t="n"/>
      <c r="I42" s="31" t="n"/>
      <c r="J42" s="31" t="n"/>
      <c r="K42" s="31" t="n"/>
      <c r="L42" s="31" t="n"/>
      <c r="M42" s="31" t="n"/>
      <c r="N42" s="31" t="n"/>
    </row>
    <row r="43" outlineLevel="1" ht="24" customHeight="1">
      <c r="A43" s="11" t="n">
        <v>8</v>
      </c>
      <c r="B43" s="12">
        <f>Справочник!$B$13</f>
        <v/>
      </c>
      <c r="C43" s="11" t="n"/>
      <c r="D43" s="11" t="n"/>
      <c r="E43" s="11">
        <f>Справочник!$C$13</f>
        <v/>
      </c>
      <c r="F43" s="34">
        <f>G42</f>
        <v/>
      </c>
      <c r="G43" s="34">
        <f>F43+E43</f>
        <v/>
      </c>
      <c r="H43" s="11" t="n"/>
      <c r="I43" s="11" t="n"/>
      <c r="J43" s="11" t="n"/>
      <c r="K43" s="11" t="n"/>
      <c r="L43" s="11" t="n"/>
      <c r="M43" s="11" t="n"/>
      <c r="N43" s="11" t="n"/>
    </row>
    <row r="45" ht="30" customHeight="1">
      <c r="A45" s="25" t="n">
        <v>5</v>
      </c>
      <c r="B45" s="26" t="inlineStr">
        <is>
          <t>Замедлитель</t>
        </is>
      </c>
      <c r="C45" s="25">
        <f>Справочник!$C$37</f>
        <v/>
      </c>
      <c r="D45" s="25">
        <f>Справочник!$H$37</f>
        <v/>
      </c>
      <c r="E45" s="25">
        <f>SUM(E46:E53)</f>
        <v/>
      </c>
      <c r="F45" s="27" t="inlineStr">
        <is>
          <t>Этап крепления: Направление ОК-426</t>
        </is>
      </c>
      <c r="G45" s="25" t="n"/>
      <c r="H45" s="28">
        <f>Справочник!$E$26</f>
        <v/>
      </c>
      <c r="I45" s="28">
        <f>H45-E45</f>
        <v/>
      </c>
      <c r="J45" s="29" t="n">
        <v>46403</v>
      </c>
      <c r="K45" s="28">
        <f>G53</f>
        <v/>
      </c>
      <c r="L45" s="25">
        <f>H45-K45</f>
        <v/>
      </c>
      <c r="M45" s="25">
        <f>IF(L45&lt;0,"СРЫВ ГРАФИКА",IF(L45&lt;14,"РИСК","В ГРАФИКЕ"))</f>
        <v/>
      </c>
      <c r="N45" s="30" t="inlineStr"/>
    </row>
    <row r="46" outlineLevel="1" ht="24" customHeight="1">
      <c r="A46" s="31" t="n">
        <v>1</v>
      </c>
      <c r="B46" s="32">
        <f>Справочник!$B$6</f>
        <v/>
      </c>
      <c r="C46" s="31" t="n"/>
      <c r="D46" s="31" t="n"/>
      <c r="E46" s="31">
        <f>Справочник!$D$6</f>
        <v/>
      </c>
      <c r="F46" s="33">
        <f>J45</f>
        <v/>
      </c>
      <c r="G46" s="33">
        <f>F46+E46</f>
        <v/>
      </c>
      <c r="H46" s="31" t="n"/>
      <c r="I46" s="31" t="n"/>
      <c r="J46" s="31" t="n"/>
      <c r="K46" s="31" t="n"/>
      <c r="L46" s="31" t="n"/>
      <c r="M46" s="31" t="n"/>
      <c r="N46" s="31" t="n"/>
    </row>
    <row r="47" outlineLevel="1" ht="24" customHeight="1">
      <c r="A47" s="11" t="n">
        <v>2</v>
      </c>
      <c r="B47" s="12">
        <f>Справочник!$B$7</f>
        <v/>
      </c>
      <c r="C47" s="11" t="n"/>
      <c r="D47" s="11" t="n"/>
      <c r="E47" s="11">
        <f>Справочник!$D$7</f>
        <v/>
      </c>
      <c r="F47" s="34">
        <f>G46</f>
        <v/>
      </c>
      <c r="G47" s="34">
        <f>F47+E47</f>
        <v/>
      </c>
      <c r="H47" s="11" t="n"/>
      <c r="I47" s="11" t="n"/>
      <c r="J47" s="11" t="n"/>
      <c r="K47" s="11" t="n"/>
      <c r="L47" s="11" t="n"/>
      <c r="M47" s="11" t="n"/>
      <c r="N47" s="11" t="n"/>
    </row>
    <row r="48" outlineLevel="1" ht="24" customHeight="1">
      <c r="A48" s="31" t="n">
        <v>3</v>
      </c>
      <c r="B48" s="32">
        <f>Справочник!$B$8</f>
        <v/>
      </c>
      <c r="C48" s="31" t="n"/>
      <c r="D48" s="31" t="n"/>
      <c r="E48" s="31">
        <f>Справочник!$D$8</f>
        <v/>
      </c>
      <c r="F48" s="33">
        <f>G47</f>
        <v/>
      </c>
      <c r="G48" s="33">
        <f>F48+E48</f>
        <v/>
      </c>
      <c r="H48" s="31" t="n"/>
      <c r="I48" s="31" t="n"/>
      <c r="J48" s="31" t="n"/>
      <c r="K48" s="31" t="n"/>
      <c r="L48" s="31" t="n"/>
      <c r="M48" s="31" t="n"/>
      <c r="N48" s="31" t="n"/>
    </row>
    <row r="49" outlineLevel="1" ht="24" customHeight="1">
      <c r="A49" s="11" t="n">
        <v>4</v>
      </c>
      <c r="B49" s="12">
        <f>Справочник!$B$9</f>
        <v/>
      </c>
      <c r="C49" s="11" t="n"/>
      <c r="D49" s="11" t="n"/>
      <c r="E49" s="11">
        <f>Справочник!$D$9</f>
        <v/>
      </c>
      <c r="F49" s="34">
        <f>G48</f>
        <v/>
      </c>
      <c r="G49" s="34">
        <f>F49+E49</f>
        <v/>
      </c>
      <c r="H49" s="11" t="n"/>
      <c r="I49" s="11" t="n"/>
      <c r="J49" s="11" t="n"/>
      <c r="K49" s="11" t="n"/>
      <c r="L49" s="11" t="n"/>
      <c r="M49" s="11" t="n"/>
      <c r="N49" s="11" t="n"/>
    </row>
    <row r="50" outlineLevel="1" ht="24" customHeight="1">
      <c r="A50" s="31" t="n">
        <v>5</v>
      </c>
      <c r="B50" s="32">
        <f>Справочник!$B$10</f>
        <v/>
      </c>
      <c r="C50" s="31" t="n"/>
      <c r="D50" s="31" t="n"/>
      <c r="E50" s="31">
        <f>Справочник!$D$10</f>
        <v/>
      </c>
      <c r="F50" s="33">
        <f>G49</f>
        <v/>
      </c>
      <c r="G50" s="33">
        <f>F50+E50</f>
        <v/>
      </c>
      <c r="H50" s="31" t="n"/>
      <c r="I50" s="31" t="n"/>
      <c r="J50" s="31" t="n"/>
      <c r="K50" s="31" t="n"/>
      <c r="L50" s="31" t="n"/>
      <c r="M50" s="31" t="n"/>
      <c r="N50" s="31" t="n"/>
    </row>
    <row r="51" outlineLevel="1" ht="24" customHeight="1">
      <c r="A51" s="11" t="n">
        <v>6</v>
      </c>
      <c r="B51" s="12">
        <f>Справочник!$B$11</f>
        <v/>
      </c>
      <c r="C51" s="11" t="n"/>
      <c r="D51" s="11" t="n"/>
      <c r="E51" s="11">
        <f>Справочник!$D$11</f>
        <v/>
      </c>
      <c r="F51" s="34">
        <f>G50</f>
        <v/>
      </c>
      <c r="G51" s="34">
        <f>F51+E51</f>
        <v/>
      </c>
      <c r="H51" s="11" t="n"/>
      <c r="I51" s="11" t="n"/>
      <c r="J51" s="11" t="n"/>
      <c r="K51" s="11" t="n"/>
      <c r="L51" s="11" t="n"/>
      <c r="M51" s="11" t="n"/>
      <c r="N51" s="11" t="n"/>
    </row>
    <row r="52" outlineLevel="1" ht="24" customHeight="1">
      <c r="A52" s="31" t="n">
        <v>7</v>
      </c>
      <c r="B52" s="32">
        <f>Справочник!$B$12</f>
        <v/>
      </c>
      <c r="C52" s="31" t="n"/>
      <c r="D52" s="31" t="n"/>
      <c r="E52" s="31">
        <f>Справочник!$D$12</f>
        <v/>
      </c>
      <c r="F52" s="33">
        <f>G51</f>
        <v/>
      </c>
      <c r="G52" s="33">
        <f>F52+E52</f>
        <v/>
      </c>
      <c r="H52" s="31" t="n"/>
      <c r="I52" s="31" t="n"/>
      <c r="J52" s="31" t="n"/>
      <c r="K52" s="31" t="n"/>
      <c r="L52" s="31" t="n"/>
      <c r="M52" s="31" t="n"/>
      <c r="N52" s="31" t="n"/>
    </row>
    <row r="53" outlineLevel="1" ht="24" customHeight="1">
      <c r="A53" s="11" t="n">
        <v>8</v>
      </c>
      <c r="B53" s="12">
        <f>Справочник!$B$13</f>
        <v/>
      </c>
      <c r="C53" s="11" t="n"/>
      <c r="D53" s="11" t="n"/>
      <c r="E53" s="11">
        <f>Справочник!$D$13</f>
        <v/>
      </c>
      <c r="F53" s="34">
        <f>G52</f>
        <v/>
      </c>
      <c r="G53" s="34">
        <f>F53+E53</f>
        <v/>
      </c>
      <c r="H53" s="11" t="n"/>
      <c r="I53" s="11" t="n"/>
      <c r="J53" s="11" t="n"/>
      <c r="K53" s="11" t="n"/>
      <c r="L53" s="11" t="n"/>
      <c r="M53" s="11" t="n"/>
      <c r="N53" s="11" t="n"/>
    </row>
    <row r="55" ht="30" customHeight="1">
      <c r="A55" s="25" t="n">
        <v>6</v>
      </c>
      <c r="B55" s="26" t="inlineStr">
        <is>
          <t>Труба обсадная ОК-426</t>
        </is>
      </c>
      <c r="C55" s="25">
        <f>Справочник!$C$38</f>
        <v/>
      </c>
      <c r="D55" s="25">
        <f>Справочник!$H$38</f>
        <v/>
      </c>
      <c r="E55" s="25">
        <f>SUM(E56:E63)</f>
        <v/>
      </c>
      <c r="F55" s="27" t="inlineStr">
        <is>
          <t>Этап крепления: Направление ОК-426</t>
        </is>
      </c>
      <c r="G55" s="25" t="n"/>
      <c r="H55" s="28">
        <f>Справочник!$E$26</f>
        <v/>
      </c>
      <c r="I55" s="28">
        <f>H55-E55</f>
        <v/>
      </c>
      <c r="J55" s="29" t="n">
        <v>46360</v>
      </c>
      <c r="K55" s="28">
        <f>G63</f>
        <v/>
      </c>
      <c r="L55" s="25">
        <f>H55-K55</f>
        <v/>
      </c>
      <c r="M55" s="25">
        <f>IF(L55&lt;0,"СРЫВ ГРАФИКА",IF(L55&lt;14,"РИСК","В ГРАФИКЕ"))</f>
        <v/>
      </c>
      <c r="N55" s="30" t="inlineStr"/>
    </row>
    <row r="56" outlineLevel="1" ht="24" customHeight="1">
      <c r="A56" s="31" t="n">
        <v>1</v>
      </c>
      <c r="B56" s="32">
        <f>Справочник!$B$6</f>
        <v/>
      </c>
      <c r="C56" s="31" t="n"/>
      <c r="D56" s="31" t="n"/>
      <c r="E56" s="31">
        <f>Справочник!$E$6</f>
        <v/>
      </c>
      <c r="F56" s="33">
        <f>J55</f>
        <v/>
      </c>
      <c r="G56" s="33">
        <f>F56+E56</f>
        <v/>
      </c>
      <c r="H56" s="31" t="n"/>
      <c r="I56" s="31" t="n"/>
      <c r="J56" s="31" t="n"/>
      <c r="K56" s="31" t="n"/>
      <c r="L56" s="31" t="n"/>
      <c r="M56" s="31" t="n"/>
      <c r="N56" s="31" t="n"/>
    </row>
    <row r="57" outlineLevel="1" ht="24" customHeight="1">
      <c r="A57" s="11" t="n">
        <v>2</v>
      </c>
      <c r="B57" s="12">
        <f>Справочник!$B$7</f>
        <v/>
      </c>
      <c r="C57" s="11" t="n"/>
      <c r="D57" s="11" t="n"/>
      <c r="E57" s="11">
        <f>Справочник!$E$7</f>
        <v/>
      </c>
      <c r="F57" s="34">
        <f>G56</f>
        <v/>
      </c>
      <c r="G57" s="34">
        <f>F57+E57</f>
        <v/>
      </c>
      <c r="H57" s="11" t="n"/>
      <c r="I57" s="11" t="n"/>
      <c r="J57" s="11" t="n"/>
      <c r="K57" s="11" t="n"/>
      <c r="L57" s="11" t="n"/>
      <c r="M57" s="11" t="n"/>
      <c r="N57" s="11" t="n"/>
    </row>
    <row r="58" outlineLevel="1" ht="24" customHeight="1">
      <c r="A58" s="31" t="n">
        <v>3</v>
      </c>
      <c r="B58" s="32">
        <f>Справочник!$B$8</f>
        <v/>
      </c>
      <c r="C58" s="31" t="n"/>
      <c r="D58" s="31" t="n"/>
      <c r="E58" s="31">
        <f>Справочник!$E$8</f>
        <v/>
      </c>
      <c r="F58" s="33">
        <f>G57</f>
        <v/>
      </c>
      <c r="G58" s="33">
        <f>F58+E58</f>
        <v/>
      </c>
      <c r="H58" s="31" t="n"/>
      <c r="I58" s="31" t="n"/>
      <c r="J58" s="31" t="n"/>
      <c r="K58" s="31" t="n"/>
      <c r="L58" s="31" t="n"/>
      <c r="M58" s="31" t="n"/>
      <c r="N58" s="31" t="n"/>
    </row>
    <row r="59" outlineLevel="1" ht="24" customHeight="1">
      <c r="A59" s="11" t="n">
        <v>4</v>
      </c>
      <c r="B59" s="12">
        <f>Справочник!$B$9</f>
        <v/>
      </c>
      <c r="C59" s="11" t="n"/>
      <c r="D59" s="11" t="n"/>
      <c r="E59" s="11">
        <f>Справочник!$E$9</f>
        <v/>
      </c>
      <c r="F59" s="34">
        <f>G58</f>
        <v/>
      </c>
      <c r="G59" s="34">
        <f>F59+E59</f>
        <v/>
      </c>
      <c r="H59" s="11" t="n"/>
      <c r="I59" s="11" t="n"/>
      <c r="J59" s="11" t="n"/>
      <c r="K59" s="11" t="n"/>
      <c r="L59" s="11" t="n"/>
      <c r="M59" s="11" t="n"/>
      <c r="N59" s="11" t="n"/>
    </row>
    <row r="60" outlineLevel="1" ht="24" customHeight="1">
      <c r="A60" s="31" t="n">
        <v>5</v>
      </c>
      <c r="B60" s="32">
        <f>Справочник!$B$10</f>
        <v/>
      </c>
      <c r="C60" s="31" t="n"/>
      <c r="D60" s="31" t="n"/>
      <c r="E60" s="31">
        <f>Справочник!$E$10</f>
        <v/>
      </c>
      <c r="F60" s="33">
        <f>G59</f>
        <v/>
      </c>
      <c r="G60" s="33">
        <f>F60+E60</f>
        <v/>
      </c>
      <c r="H60" s="31" t="n"/>
      <c r="I60" s="31" t="n"/>
      <c r="J60" s="31" t="n"/>
      <c r="K60" s="31" t="n"/>
      <c r="L60" s="31" t="n"/>
      <c r="M60" s="31" t="n"/>
      <c r="N60" s="31" t="n"/>
    </row>
    <row r="61" outlineLevel="1" ht="24" customHeight="1">
      <c r="A61" s="11" t="n">
        <v>6</v>
      </c>
      <c r="B61" s="12">
        <f>Справочник!$B$11</f>
        <v/>
      </c>
      <c r="C61" s="11" t="n"/>
      <c r="D61" s="11" t="n"/>
      <c r="E61" s="11">
        <f>Справочник!$E$11</f>
        <v/>
      </c>
      <c r="F61" s="34">
        <f>G60</f>
        <v/>
      </c>
      <c r="G61" s="34">
        <f>F61+E61</f>
        <v/>
      </c>
      <c r="H61" s="11" t="n"/>
      <c r="I61" s="11" t="n"/>
      <c r="J61" s="11" t="n"/>
      <c r="K61" s="11" t="n"/>
      <c r="L61" s="11" t="n"/>
      <c r="M61" s="11" t="n"/>
      <c r="N61" s="11" t="n"/>
    </row>
    <row r="62" outlineLevel="1" ht="24" customHeight="1">
      <c r="A62" s="31" t="n">
        <v>7</v>
      </c>
      <c r="B62" s="32">
        <f>Справочник!$B$12</f>
        <v/>
      </c>
      <c r="C62" s="31" t="n"/>
      <c r="D62" s="31" t="n"/>
      <c r="E62" s="31">
        <f>Справочник!$E$12</f>
        <v/>
      </c>
      <c r="F62" s="33">
        <f>G61</f>
        <v/>
      </c>
      <c r="G62" s="33">
        <f>F62+E62</f>
        <v/>
      </c>
      <c r="H62" s="31" t="n"/>
      <c r="I62" s="31" t="n"/>
      <c r="J62" s="31" t="n"/>
      <c r="K62" s="31" t="n"/>
      <c r="L62" s="31" t="n"/>
      <c r="M62" s="31" t="n"/>
      <c r="N62" s="31" t="n"/>
    </row>
    <row r="63" outlineLevel="1" ht="24" customHeight="1">
      <c r="A63" s="11" t="n">
        <v>8</v>
      </c>
      <c r="B63" s="12">
        <f>Справочник!$B$13</f>
        <v/>
      </c>
      <c r="C63" s="11" t="n"/>
      <c r="D63" s="11" t="n"/>
      <c r="E63" s="11">
        <f>Справочник!$E$13</f>
        <v/>
      </c>
      <c r="F63" s="34">
        <f>G62</f>
        <v/>
      </c>
      <c r="G63" s="34">
        <f>F63+E63</f>
        <v/>
      </c>
      <c r="H63" s="11" t="n"/>
      <c r="I63" s="11" t="n"/>
      <c r="J63" s="11" t="n"/>
      <c r="K63" s="11" t="n"/>
      <c r="L63" s="11" t="n"/>
      <c r="M63" s="11" t="n"/>
      <c r="N63" s="11" t="n"/>
    </row>
    <row r="65" ht="30" customHeight="1">
      <c r="A65" s="25" t="n">
        <v>7</v>
      </c>
      <c r="B65" s="26" t="inlineStr">
        <is>
          <t>Труба обсадная ОК-324</t>
        </is>
      </c>
      <c r="C65" s="25">
        <f>Справочник!$C$39</f>
        <v/>
      </c>
      <c r="D65" s="25">
        <f>Справочник!$H$39</f>
        <v/>
      </c>
      <c r="E65" s="25">
        <f>SUM(E66:E73)</f>
        <v/>
      </c>
      <c r="F65" s="27" t="inlineStr">
        <is>
          <t>Этап крепления: Кондуктор ОК-324</t>
        </is>
      </c>
      <c r="G65" s="25" t="n"/>
      <c r="H65" s="28">
        <f>Справочник!$E$27</f>
        <v/>
      </c>
      <c r="I65" s="28">
        <f>H65-E65</f>
        <v/>
      </c>
      <c r="J65" s="29" t="n">
        <v>46375</v>
      </c>
      <c r="K65" s="28">
        <f>G73</f>
        <v/>
      </c>
      <c r="L65" s="25">
        <f>H65-K65</f>
        <v/>
      </c>
      <c r="M65" s="25">
        <f>IF(L65&lt;0,"СРЫВ ГРАФИКА",IF(L65&lt;14,"РИСК","В ГРАФИКЕ"))</f>
        <v/>
      </c>
      <c r="N65" s="30" t="inlineStr"/>
    </row>
    <row r="66" outlineLevel="1" ht="24" customHeight="1">
      <c r="A66" s="31" t="n">
        <v>1</v>
      </c>
      <c r="B66" s="32">
        <f>Справочник!$B$6</f>
        <v/>
      </c>
      <c r="C66" s="31" t="n"/>
      <c r="D66" s="31" t="n"/>
      <c r="E66" s="31">
        <f>Справочник!$E$6</f>
        <v/>
      </c>
      <c r="F66" s="33">
        <f>J65</f>
        <v/>
      </c>
      <c r="G66" s="33">
        <f>F66+E66</f>
        <v/>
      </c>
      <c r="H66" s="31" t="n"/>
      <c r="I66" s="31" t="n"/>
      <c r="J66" s="31" t="n"/>
      <c r="K66" s="31" t="n"/>
      <c r="L66" s="31" t="n"/>
      <c r="M66" s="31" t="n"/>
      <c r="N66" s="31" t="n"/>
    </row>
    <row r="67" outlineLevel="1" ht="24" customHeight="1">
      <c r="A67" s="11" t="n">
        <v>2</v>
      </c>
      <c r="B67" s="12">
        <f>Справочник!$B$7</f>
        <v/>
      </c>
      <c r="C67" s="11" t="n"/>
      <c r="D67" s="11" t="n"/>
      <c r="E67" s="11">
        <f>Справочник!$E$7</f>
        <v/>
      </c>
      <c r="F67" s="34">
        <f>G66</f>
        <v/>
      </c>
      <c r="G67" s="34">
        <f>F67+E67</f>
        <v/>
      </c>
      <c r="H67" s="11" t="n"/>
      <c r="I67" s="11" t="n"/>
      <c r="J67" s="11" t="n"/>
      <c r="K67" s="11" t="n"/>
      <c r="L67" s="11" t="n"/>
      <c r="M67" s="11" t="n"/>
      <c r="N67" s="11" t="n"/>
    </row>
    <row r="68" outlineLevel="1" ht="24" customHeight="1">
      <c r="A68" s="31" t="n">
        <v>3</v>
      </c>
      <c r="B68" s="32">
        <f>Справочник!$B$8</f>
        <v/>
      </c>
      <c r="C68" s="31" t="n"/>
      <c r="D68" s="31" t="n"/>
      <c r="E68" s="31">
        <f>Справочник!$E$8</f>
        <v/>
      </c>
      <c r="F68" s="33">
        <f>G67</f>
        <v/>
      </c>
      <c r="G68" s="33">
        <f>F68+E68</f>
        <v/>
      </c>
      <c r="H68" s="31" t="n"/>
      <c r="I68" s="31" t="n"/>
      <c r="J68" s="31" t="n"/>
      <c r="K68" s="31" t="n"/>
      <c r="L68" s="31" t="n"/>
      <c r="M68" s="31" t="n"/>
      <c r="N68" s="31" t="n"/>
    </row>
    <row r="69" outlineLevel="1" ht="24" customHeight="1">
      <c r="A69" s="11" t="n">
        <v>4</v>
      </c>
      <c r="B69" s="12">
        <f>Справочник!$B$9</f>
        <v/>
      </c>
      <c r="C69" s="11" t="n"/>
      <c r="D69" s="11" t="n"/>
      <c r="E69" s="11">
        <f>Справочник!$E$9</f>
        <v/>
      </c>
      <c r="F69" s="34">
        <f>G68</f>
        <v/>
      </c>
      <c r="G69" s="34">
        <f>F69+E69</f>
        <v/>
      </c>
      <c r="H69" s="11" t="n"/>
      <c r="I69" s="11" t="n"/>
      <c r="J69" s="11" t="n"/>
      <c r="K69" s="11" t="n"/>
      <c r="L69" s="11" t="n"/>
      <c r="M69" s="11" t="n"/>
      <c r="N69" s="11" t="n"/>
    </row>
    <row r="70" outlineLevel="1" ht="24" customHeight="1">
      <c r="A70" s="31" t="n">
        <v>5</v>
      </c>
      <c r="B70" s="32">
        <f>Справочник!$B$10</f>
        <v/>
      </c>
      <c r="C70" s="31" t="n"/>
      <c r="D70" s="31" t="n"/>
      <c r="E70" s="31">
        <f>Справочник!$E$10</f>
        <v/>
      </c>
      <c r="F70" s="33">
        <f>G69</f>
        <v/>
      </c>
      <c r="G70" s="33">
        <f>F70+E70</f>
        <v/>
      </c>
      <c r="H70" s="31" t="n"/>
      <c r="I70" s="31" t="n"/>
      <c r="J70" s="31" t="n"/>
      <c r="K70" s="31" t="n"/>
      <c r="L70" s="31" t="n"/>
      <c r="M70" s="31" t="n"/>
      <c r="N70" s="31" t="n"/>
    </row>
    <row r="71" outlineLevel="1" ht="24" customHeight="1">
      <c r="A71" s="11" t="n">
        <v>6</v>
      </c>
      <c r="B71" s="12">
        <f>Справочник!$B$11</f>
        <v/>
      </c>
      <c r="C71" s="11" t="n"/>
      <c r="D71" s="11" t="n"/>
      <c r="E71" s="11">
        <f>Справочник!$E$11</f>
        <v/>
      </c>
      <c r="F71" s="34">
        <f>G70</f>
        <v/>
      </c>
      <c r="G71" s="34">
        <f>F71+E71</f>
        <v/>
      </c>
      <c r="H71" s="11" t="n"/>
      <c r="I71" s="11" t="n"/>
      <c r="J71" s="11" t="n"/>
      <c r="K71" s="11" t="n"/>
      <c r="L71" s="11" t="n"/>
      <c r="M71" s="11" t="n"/>
      <c r="N71" s="11" t="n"/>
    </row>
    <row r="72" outlineLevel="1" ht="24" customHeight="1">
      <c r="A72" s="31" t="n">
        <v>7</v>
      </c>
      <c r="B72" s="32">
        <f>Справочник!$B$12</f>
        <v/>
      </c>
      <c r="C72" s="31" t="n"/>
      <c r="D72" s="31" t="n"/>
      <c r="E72" s="31">
        <f>Справочник!$E$12</f>
        <v/>
      </c>
      <c r="F72" s="33">
        <f>G71</f>
        <v/>
      </c>
      <c r="G72" s="33">
        <f>F72+E72</f>
        <v/>
      </c>
      <c r="H72" s="31" t="n"/>
      <c r="I72" s="31" t="n"/>
      <c r="J72" s="31" t="n"/>
      <c r="K72" s="31" t="n"/>
      <c r="L72" s="31" t="n"/>
      <c r="M72" s="31" t="n"/>
      <c r="N72" s="31" t="n"/>
    </row>
    <row r="73" outlineLevel="1" ht="24" customHeight="1">
      <c r="A73" s="11" t="n">
        <v>8</v>
      </c>
      <c r="B73" s="12">
        <f>Справочник!$B$13</f>
        <v/>
      </c>
      <c r="C73" s="11" t="n"/>
      <c r="D73" s="11" t="n"/>
      <c r="E73" s="11">
        <f>Справочник!$E$13</f>
        <v/>
      </c>
      <c r="F73" s="34">
        <f>G72</f>
        <v/>
      </c>
      <c r="G73" s="34">
        <f>F73+E73</f>
        <v/>
      </c>
      <c r="H73" s="11" t="n"/>
      <c r="I73" s="11" t="n"/>
      <c r="J73" s="11" t="n"/>
      <c r="K73" s="11" t="n"/>
      <c r="L73" s="11" t="n"/>
      <c r="M73" s="11" t="n"/>
      <c r="N73" s="11" t="n"/>
    </row>
    <row r="75" ht="30" customHeight="1">
      <c r="A75" s="25" t="n">
        <v>8</v>
      </c>
      <c r="B75" s="26" t="inlineStr">
        <is>
          <t>Труба обсадная ОК-245</t>
        </is>
      </c>
      <c r="C75" s="25">
        <f>Справочник!$C$40</f>
        <v/>
      </c>
      <c r="D75" s="25">
        <f>Справочник!$H$40</f>
        <v/>
      </c>
      <c r="E75" s="25">
        <f>SUM(E76:E83)</f>
        <v/>
      </c>
      <c r="F75" s="27" t="inlineStr">
        <is>
          <t>Этап крепления: Экспл. колонна ОК-245</t>
        </is>
      </c>
      <c r="G75" s="25" t="n"/>
      <c r="H75" s="28">
        <f>Справочник!$E$28</f>
        <v/>
      </c>
      <c r="I75" s="28">
        <f>H75-E75</f>
        <v/>
      </c>
      <c r="J75" s="29" t="n">
        <v>46406</v>
      </c>
      <c r="K75" s="28">
        <f>G83</f>
        <v/>
      </c>
      <c r="L75" s="25">
        <f>H75-K75</f>
        <v/>
      </c>
      <c r="M75" s="25">
        <f>IF(L75&lt;0,"СРЫВ ГРАФИКА",IF(L75&lt;14,"РИСК","В ГРАФИКЕ"))</f>
        <v/>
      </c>
      <c r="N75" s="30" t="inlineStr"/>
    </row>
    <row r="76" outlineLevel="1" ht="24" customHeight="1">
      <c r="A76" s="31" t="n">
        <v>1</v>
      </c>
      <c r="B76" s="32">
        <f>Справочник!$B$6</f>
        <v/>
      </c>
      <c r="C76" s="31" t="n"/>
      <c r="D76" s="31" t="n"/>
      <c r="E76" s="31">
        <f>Справочник!$E$6</f>
        <v/>
      </c>
      <c r="F76" s="33">
        <f>J75</f>
        <v/>
      </c>
      <c r="G76" s="33">
        <f>F76+E76</f>
        <v/>
      </c>
      <c r="H76" s="31" t="n"/>
      <c r="I76" s="31" t="n"/>
      <c r="J76" s="31" t="n"/>
      <c r="K76" s="31" t="n"/>
      <c r="L76" s="31" t="n"/>
      <c r="M76" s="31" t="n"/>
      <c r="N76" s="31" t="n"/>
    </row>
    <row r="77" outlineLevel="1" ht="24" customHeight="1">
      <c r="A77" s="11" t="n">
        <v>2</v>
      </c>
      <c r="B77" s="12">
        <f>Справочник!$B$7</f>
        <v/>
      </c>
      <c r="C77" s="11" t="n"/>
      <c r="D77" s="11" t="n"/>
      <c r="E77" s="11">
        <f>Справочник!$E$7</f>
        <v/>
      </c>
      <c r="F77" s="34">
        <f>G76</f>
        <v/>
      </c>
      <c r="G77" s="34">
        <f>F77+E77</f>
        <v/>
      </c>
      <c r="H77" s="11" t="n"/>
      <c r="I77" s="11" t="n"/>
      <c r="J77" s="11" t="n"/>
      <c r="K77" s="11" t="n"/>
      <c r="L77" s="11" t="n"/>
      <c r="M77" s="11" t="n"/>
      <c r="N77" s="11" t="n"/>
    </row>
    <row r="78" outlineLevel="1" ht="24" customHeight="1">
      <c r="A78" s="31" t="n">
        <v>3</v>
      </c>
      <c r="B78" s="32">
        <f>Справочник!$B$8</f>
        <v/>
      </c>
      <c r="C78" s="31" t="n"/>
      <c r="D78" s="31" t="n"/>
      <c r="E78" s="31">
        <f>Справочник!$E$8</f>
        <v/>
      </c>
      <c r="F78" s="33">
        <f>G77</f>
        <v/>
      </c>
      <c r="G78" s="33">
        <f>F78+E78</f>
        <v/>
      </c>
      <c r="H78" s="31" t="n"/>
      <c r="I78" s="31" t="n"/>
      <c r="J78" s="31" t="n"/>
      <c r="K78" s="31" t="n"/>
      <c r="L78" s="31" t="n"/>
      <c r="M78" s="31" t="n"/>
      <c r="N78" s="31" t="n"/>
    </row>
    <row r="79" outlineLevel="1" ht="24" customHeight="1">
      <c r="A79" s="11" t="n">
        <v>4</v>
      </c>
      <c r="B79" s="12">
        <f>Справочник!$B$9</f>
        <v/>
      </c>
      <c r="C79" s="11" t="n"/>
      <c r="D79" s="11" t="n"/>
      <c r="E79" s="11">
        <f>Справочник!$E$9</f>
        <v/>
      </c>
      <c r="F79" s="34">
        <f>G78</f>
        <v/>
      </c>
      <c r="G79" s="34">
        <f>F79+E79</f>
        <v/>
      </c>
      <c r="H79" s="11" t="n"/>
      <c r="I79" s="11" t="n"/>
      <c r="J79" s="11" t="n"/>
      <c r="K79" s="11" t="n"/>
      <c r="L79" s="11" t="n"/>
      <c r="M79" s="11" t="n"/>
      <c r="N79" s="11" t="n"/>
    </row>
    <row r="80" outlineLevel="1" ht="24" customHeight="1">
      <c r="A80" s="31" t="n">
        <v>5</v>
      </c>
      <c r="B80" s="32">
        <f>Справочник!$B$10</f>
        <v/>
      </c>
      <c r="C80" s="31" t="n"/>
      <c r="D80" s="31" t="n"/>
      <c r="E80" s="31">
        <f>Справочник!$E$10</f>
        <v/>
      </c>
      <c r="F80" s="33">
        <f>G79</f>
        <v/>
      </c>
      <c r="G80" s="33">
        <f>F80+E80</f>
        <v/>
      </c>
      <c r="H80" s="31" t="n"/>
      <c r="I80" s="31" t="n"/>
      <c r="J80" s="31" t="n"/>
      <c r="K80" s="31" t="n"/>
      <c r="L80" s="31" t="n"/>
      <c r="M80" s="31" t="n"/>
      <c r="N80" s="31" t="n"/>
    </row>
    <row r="81" outlineLevel="1" ht="24" customHeight="1">
      <c r="A81" s="11" t="n">
        <v>6</v>
      </c>
      <c r="B81" s="12">
        <f>Справочник!$B$11</f>
        <v/>
      </c>
      <c r="C81" s="11" t="n"/>
      <c r="D81" s="11" t="n"/>
      <c r="E81" s="11">
        <f>Справочник!$E$11</f>
        <v/>
      </c>
      <c r="F81" s="34">
        <f>G80</f>
        <v/>
      </c>
      <c r="G81" s="34">
        <f>F81+E81</f>
        <v/>
      </c>
      <c r="H81" s="11" t="n"/>
      <c r="I81" s="11" t="n"/>
      <c r="J81" s="11" t="n"/>
      <c r="K81" s="11" t="n"/>
      <c r="L81" s="11" t="n"/>
      <c r="M81" s="11" t="n"/>
      <c r="N81" s="11" t="n"/>
    </row>
    <row r="82" outlineLevel="1" ht="24" customHeight="1">
      <c r="A82" s="31" t="n">
        <v>7</v>
      </c>
      <c r="B82" s="32">
        <f>Справочник!$B$12</f>
        <v/>
      </c>
      <c r="C82" s="31" t="n"/>
      <c r="D82" s="31" t="n"/>
      <c r="E82" s="31">
        <f>Справочник!$E$12</f>
        <v/>
      </c>
      <c r="F82" s="33">
        <f>G81</f>
        <v/>
      </c>
      <c r="G82" s="33">
        <f>F82+E82</f>
        <v/>
      </c>
      <c r="H82" s="31" t="n"/>
      <c r="I82" s="31" t="n"/>
      <c r="J82" s="31" t="n"/>
      <c r="K82" s="31" t="n"/>
      <c r="L82" s="31" t="n"/>
      <c r="M82" s="31" t="n"/>
      <c r="N82" s="31" t="n"/>
    </row>
    <row r="83" outlineLevel="1" ht="24" customHeight="1">
      <c r="A83" s="11" t="n">
        <v>8</v>
      </c>
      <c r="B83" s="12">
        <f>Справочник!$B$13</f>
        <v/>
      </c>
      <c r="C83" s="11" t="n"/>
      <c r="D83" s="11" t="n"/>
      <c r="E83" s="11">
        <f>Справочник!$E$13</f>
        <v/>
      </c>
      <c r="F83" s="34">
        <f>G82</f>
        <v/>
      </c>
      <c r="G83" s="34">
        <f>F83+E83</f>
        <v/>
      </c>
      <c r="H83" s="11" t="n"/>
      <c r="I83" s="11" t="n"/>
      <c r="J83" s="11" t="n"/>
      <c r="K83" s="11" t="n"/>
      <c r="L83" s="11" t="n"/>
      <c r="M83" s="11" t="n"/>
      <c r="N83" s="11" t="n"/>
    </row>
    <row r="85" ht="30" customHeight="1">
      <c r="A85" s="25" t="n">
        <v>9</v>
      </c>
      <c r="B85" s="26" t="inlineStr">
        <is>
          <t>Тех.оснастка (ОК-426)</t>
        </is>
      </c>
      <c r="C85" s="25">
        <f>Справочник!$C$41</f>
        <v/>
      </c>
      <c r="D85" s="25">
        <f>Справочник!$H$41</f>
        <v/>
      </c>
      <c r="E85" s="25">
        <f>SUM(E86:E93)</f>
        <v/>
      </c>
      <c r="F85" s="27" t="inlineStr">
        <is>
          <t>Этап крепления: Направление ОК-426</t>
        </is>
      </c>
      <c r="G85" s="25" t="n"/>
      <c r="H85" s="28">
        <f>Справочник!$E$26</f>
        <v/>
      </c>
      <c r="I85" s="28">
        <f>H85-E85</f>
        <v/>
      </c>
      <c r="J85" s="29" t="n">
        <v>46379</v>
      </c>
      <c r="K85" s="28">
        <f>G93</f>
        <v/>
      </c>
      <c r="L85" s="25">
        <f>H85-K85</f>
        <v/>
      </c>
      <c r="M85" s="25">
        <f>IF(L85&lt;0,"СРЫВ ГРАФИКА",IF(L85&lt;14,"РИСК","В ГРАФИКЕ"))</f>
        <v/>
      </c>
      <c r="N85" s="30" t="inlineStr"/>
    </row>
    <row r="86" outlineLevel="1" ht="24" customHeight="1">
      <c r="A86" s="31" t="n">
        <v>1</v>
      </c>
      <c r="B86" s="32">
        <f>Справочник!$B$6</f>
        <v/>
      </c>
      <c r="C86" s="31" t="n"/>
      <c r="D86" s="31" t="n"/>
      <c r="E86" s="31">
        <f>Справочник!$F$6</f>
        <v/>
      </c>
      <c r="F86" s="33">
        <f>J85</f>
        <v/>
      </c>
      <c r="G86" s="33">
        <f>F86+E86</f>
        <v/>
      </c>
      <c r="H86" s="31" t="n"/>
      <c r="I86" s="31" t="n"/>
      <c r="J86" s="31" t="n"/>
      <c r="K86" s="31" t="n"/>
      <c r="L86" s="31" t="n"/>
      <c r="M86" s="31" t="n"/>
      <c r="N86" s="31" t="n"/>
    </row>
    <row r="87" outlineLevel="1" ht="24" customHeight="1">
      <c r="A87" s="11" t="n">
        <v>2</v>
      </c>
      <c r="B87" s="12">
        <f>Справочник!$B$7</f>
        <v/>
      </c>
      <c r="C87" s="11" t="n"/>
      <c r="D87" s="11" t="n"/>
      <c r="E87" s="11">
        <f>Справочник!$F$7</f>
        <v/>
      </c>
      <c r="F87" s="34">
        <f>G86</f>
        <v/>
      </c>
      <c r="G87" s="34">
        <f>F87+E87</f>
        <v/>
      </c>
      <c r="H87" s="11" t="n"/>
      <c r="I87" s="11" t="n"/>
      <c r="J87" s="11" t="n"/>
      <c r="K87" s="11" t="n"/>
      <c r="L87" s="11" t="n"/>
      <c r="M87" s="11" t="n"/>
      <c r="N87" s="11" t="n"/>
    </row>
    <row r="88" outlineLevel="1" ht="24" customHeight="1">
      <c r="A88" s="31" t="n">
        <v>3</v>
      </c>
      <c r="B88" s="32">
        <f>Справочник!$B$8</f>
        <v/>
      </c>
      <c r="C88" s="31" t="n"/>
      <c r="D88" s="31" t="n"/>
      <c r="E88" s="31">
        <f>Справочник!$F$8</f>
        <v/>
      </c>
      <c r="F88" s="33">
        <f>G87</f>
        <v/>
      </c>
      <c r="G88" s="33">
        <f>F88+E88</f>
        <v/>
      </c>
      <c r="H88" s="31" t="n"/>
      <c r="I88" s="31" t="n"/>
      <c r="J88" s="31" t="n"/>
      <c r="K88" s="31" t="n"/>
      <c r="L88" s="31" t="n"/>
      <c r="M88" s="31" t="n"/>
      <c r="N88" s="31" t="n"/>
    </row>
    <row r="89" outlineLevel="1" ht="24" customHeight="1">
      <c r="A89" s="11" t="n">
        <v>4</v>
      </c>
      <c r="B89" s="12">
        <f>Справочник!$B$9</f>
        <v/>
      </c>
      <c r="C89" s="11" t="n"/>
      <c r="D89" s="11" t="n"/>
      <c r="E89" s="11">
        <f>Справочник!$F$9</f>
        <v/>
      </c>
      <c r="F89" s="34">
        <f>G88</f>
        <v/>
      </c>
      <c r="G89" s="34">
        <f>F89+E89</f>
        <v/>
      </c>
      <c r="H89" s="11" t="n"/>
      <c r="I89" s="11" t="n"/>
      <c r="J89" s="11" t="n"/>
      <c r="K89" s="11" t="n"/>
      <c r="L89" s="11" t="n"/>
      <c r="M89" s="11" t="n"/>
      <c r="N89" s="11" t="n"/>
    </row>
    <row r="90" outlineLevel="1" ht="24" customHeight="1">
      <c r="A90" s="31" t="n">
        <v>5</v>
      </c>
      <c r="B90" s="32">
        <f>Справочник!$B$10</f>
        <v/>
      </c>
      <c r="C90" s="31" t="n"/>
      <c r="D90" s="31" t="n"/>
      <c r="E90" s="31">
        <f>Справочник!$F$10</f>
        <v/>
      </c>
      <c r="F90" s="33">
        <f>G89</f>
        <v/>
      </c>
      <c r="G90" s="33">
        <f>F90+E90</f>
        <v/>
      </c>
      <c r="H90" s="31" t="n"/>
      <c r="I90" s="31" t="n"/>
      <c r="J90" s="31" t="n"/>
      <c r="K90" s="31" t="n"/>
      <c r="L90" s="31" t="n"/>
      <c r="M90" s="31" t="n"/>
      <c r="N90" s="31" t="n"/>
    </row>
    <row r="91" outlineLevel="1" ht="24" customHeight="1">
      <c r="A91" s="11" t="n">
        <v>6</v>
      </c>
      <c r="B91" s="12">
        <f>Справочник!$B$11</f>
        <v/>
      </c>
      <c r="C91" s="11" t="n"/>
      <c r="D91" s="11" t="n"/>
      <c r="E91" s="11">
        <f>Справочник!$F$11</f>
        <v/>
      </c>
      <c r="F91" s="34">
        <f>G90</f>
        <v/>
      </c>
      <c r="G91" s="34">
        <f>F91+E91</f>
        <v/>
      </c>
      <c r="H91" s="11" t="n"/>
      <c r="I91" s="11" t="n"/>
      <c r="J91" s="11" t="n"/>
      <c r="K91" s="11" t="n"/>
      <c r="L91" s="11" t="n"/>
      <c r="M91" s="11" t="n"/>
      <c r="N91" s="11" t="n"/>
    </row>
    <row r="92" outlineLevel="1" ht="24" customHeight="1">
      <c r="A92" s="31" t="n">
        <v>7</v>
      </c>
      <c r="B92" s="32">
        <f>Справочник!$B$12</f>
        <v/>
      </c>
      <c r="C92" s="31" t="n"/>
      <c r="D92" s="31" t="n"/>
      <c r="E92" s="31">
        <f>Справочник!$F$12</f>
        <v/>
      </c>
      <c r="F92" s="33">
        <f>G91</f>
        <v/>
      </c>
      <c r="G92" s="33">
        <f>F92+E92</f>
        <v/>
      </c>
      <c r="H92" s="31" t="n"/>
      <c r="I92" s="31" t="n"/>
      <c r="J92" s="31" t="n"/>
      <c r="K92" s="31" t="n"/>
      <c r="L92" s="31" t="n"/>
      <c r="M92" s="31" t="n"/>
      <c r="N92" s="31" t="n"/>
    </row>
    <row r="93" outlineLevel="1" ht="24" customHeight="1">
      <c r="A93" s="11" t="n">
        <v>8</v>
      </c>
      <c r="B93" s="12">
        <f>Справочник!$B$13</f>
        <v/>
      </c>
      <c r="C93" s="11" t="n"/>
      <c r="D93" s="11" t="n"/>
      <c r="E93" s="11">
        <f>Справочник!$F$13</f>
        <v/>
      </c>
      <c r="F93" s="34">
        <f>G92</f>
        <v/>
      </c>
      <c r="G93" s="34">
        <f>F93+E93</f>
        <v/>
      </c>
      <c r="H93" s="11" t="n"/>
      <c r="I93" s="11" t="n"/>
      <c r="J93" s="11" t="n"/>
      <c r="K93" s="11" t="n"/>
      <c r="L93" s="11" t="n"/>
      <c r="M93" s="11" t="n"/>
      <c r="N93" s="11" t="n"/>
    </row>
    <row r="95" ht="30" customHeight="1">
      <c r="A95" s="25" t="n">
        <v>10</v>
      </c>
      <c r="B95" s="26" t="inlineStr">
        <is>
          <t>Тех.оснастка (ОК-324)</t>
        </is>
      </c>
      <c r="C95" s="25">
        <f>Справочник!$C$42</f>
        <v/>
      </c>
      <c r="D95" s="25">
        <f>Справочник!$H$42</f>
        <v/>
      </c>
      <c r="E95" s="25">
        <f>SUM(E96:E103)</f>
        <v/>
      </c>
      <c r="F95" s="27" t="inlineStr">
        <is>
          <t>Этап крепления: Кондуктор ОК-324</t>
        </is>
      </c>
      <c r="G95" s="25" t="n"/>
      <c r="H95" s="28">
        <f>Справочник!$E$27</f>
        <v/>
      </c>
      <c r="I95" s="28">
        <f>H95-E95</f>
        <v/>
      </c>
      <c r="J95" s="29" t="n">
        <v>46394</v>
      </c>
      <c r="K95" s="28">
        <f>G103</f>
        <v/>
      </c>
      <c r="L95" s="25">
        <f>H95-K95</f>
        <v/>
      </c>
      <c r="M95" s="25">
        <f>IF(L95&lt;0,"СРЫВ ГРАФИКА",IF(L95&lt;14,"РИСК","В ГРАФИКЕ"))</f>
        <v/>
      </c>
      <c r="N95" s="30" t="inlineStr"/>
    </row>
    <row r="96" outlineLevel="1" ht="24" customHeight="1">
      <c r="A96" s="31" t="n">
        <v>1</v>
      </c>
      <c r="B96" s="32">
        <f>Справочник!$B$6</f>
        <v/>
      </c>
      <c r="C96" s="31" t="n"/>
      <c r="D96" s="31" t="n"/>
      <c r="E96" s="31">
        <f>Справочник!$F$6</f>
        <v/>
      </c>
      <c r="F96" s="33">
        <f>J95</f>
        <v/>
      </c>
      <c r="G96" s="33">
        <f>F96+E96</f>
        <v/>
      </c>
      <c r="H96" s="31" t="n"/>
      <c r="I96" s="31" t="n"/>
      <c r="J96" s="31" t="n"/>
      <c r="K96" s="31" t="n"/>
      <c r="L96" s="31" t="n"/>
      <c r="M96" s="31" t="n"/>
      <c r="N96" s="31" t="n"/>
    </row>
    <row r="97" outlineLevel="1" ht="24" customHeight="1">
      <c r="A97" s="11" t="n">
        <v>2</v>
      </c>
      <c r="B97" s="12">
        <f>Справочник!$B$7</f>
        <v/>
      </c>
      <c r="C97" s="11" t="n"/>
      <c r="D97" s="11" t="n"/>
      <c r="E97" s="11">
        <f>Справочник!$F$7</f>
        <v/>
      </c>
      <c r="F97" s="34">
        <f>G96</f>
        <v/>
      </c>
      <c r="G97" s="34">
        <f>F97+E97</f>
        <v/>
      </c>
      <c r="H97" s="11" t="n"/>
      <c r="I97" s="11" t="n"/>
      <c r="J97" s="11" t="n"/>
      <c r="K97" s="11" t="n"/>
      <c r="L97" s="11" t="n"/>
      <c r="M97" s="11" t="n"/>
      <c r="N97" s="11" t="n"/>
    </row>
    <row r="98" outlineLevel="1" ht="24" customHeight="1">
      <c r="A98" s="31" t="n">
        <v>3</v>
      </c>
      <c r="B98" s="32">
        <f>Справочник!$B$8</f>
        <v/>
      </c>
      <c r="C98" s="31" t="n"/>
      <c r="D98" s="31" t="n"/>
      <c r="E98" s="31">
        <f>Справочник!$F$8</f>
        <v/>
      </c>
      <c r="F98" s="33">
        <f>G97</f>
        <v/>
      </c>
      <c r="G98" s="33">
        <f>F98+E98</f>
        <v/>
      </c>
      <c r="H98" s="31" t="n"/>
      <c r="I98" s="31" t="n"/>
      <c r="J98" s="31" t="n"/>
      <c r="K98" s="31" t="n"/>
      <c r="L98" s="31" t="n"/>
      <c r="M98" s="31" t="n"/>
      <c r="N98" s="31" t="n"/>
    </row>
    <row r="99" outlineLevel="1" ht="24" customHeight="1">
      <c r="A99" s="11" t="n">
        <v>4</v>
      </c>
      <c r="B99" s="12">
        <f>Справочник!$B$9</f>
        <v/>
      </c>
      <c r="C99" s="11" t="n"/>
      <c r="D99" s="11" t="n"/>
      <c r="E99" s="11">
        <f>Справочник!$F$9</f>
        <v/>
      </c>
      <c r="F99" s="34">
        <f>G98</f>
        <v/>
      </c>
      <c r="G99" s="34">
        <f>F99+E99</f>
        <v/>
      </c>
      <c r="H99" s="11" t="n"/>
      <c r="I99" s="11" t="n"/>
      <c r="J99" s="11" t="n"/>
      <c r="K99" s="11" t="n"/>
      <c r="L99" s="11" t="n"/>
      <c r="M99" s="11" t="n"/>
      <c r="N99" s="11" t="n"/>
    </row>
    <row r="100" outlineLevel="1" ht="24" customHeight="1">
      <c r="A100" s="31" t="n">
        <v>5</v>
      </c>
      <c r="B100" s="32">
        <f>Справочник!$B$10</f>
        <v/>
      </c>
      <c r="C100" s="31" t="n"/>
      <c r="D100" s="31" t="n"/>
      <c r="E100" s="31">
        <f>Справочник!$F$10</f>
        <v/>
      </c>
      <c r="F100" s="33">
        <f>G99</f>
        <v/>
      </c>
      <c r="G100" s="33">
        <f>F100+E100</f>
        <v/>
      </c>
      <c r="H100" s="31" t="n"/>
      <c r="I100" s="31" t="n"/>
      <c r="J100" s="31" t="n"/>
      <c r="K100" s="31" t="n"/>
      <c r="L100" s="31" t="n"/>
      <c r="M100" s="31" t="n"/>
      <c r="N100" s="31" t="n"/>
    </row>
    <row r="101" outlineLevel="1" ht="24" customHeight="1">
      <c r="A101" s="11" t="n">
        <v>6</v>
      </c>
      <c r="B101" s="12">
        <f>Справочник!$B$11</f>
        <v/>
      </c>
      <c r="C101" s="11" t="n"/>
      <c r="D101" s="11" t="n"/>
      <c r="E101" s="11">
        <f>Справочник!$F$11</f>
        <v/>
      </c>
      <c r="F101" s="34">
        <f>G100</f>
        <v/>
      </c>
      <c r="G101" s="34">
        <f>F101+E101</f>
        <v/>
      </c>
      <c r="H101" s="11" t="n"/>
      <c r="I101" s="11" t="n"/>
      <c r="J101" s="11" t="n"/>
      <c r="K101" s="11" t="n"/>
      <c r="L101" s="11" t="n"/>
      <c r="M101" s="11" t="n"/>
      <c r="N101" s="11" t="n"/>
    </row>
    <row r="102" outlineLevel="1" ht="24" customHeight="1">
      <c r="A102" s="31" t="n">
        <v>7</v>
      </c>
      <c r="B102" s="32">
        <f>Справочник!$B$12</f>
        <v/>
      </c>
      <c r="C102" s="31" t="n"/>
      <c r="D102" s="31" t="n"/>
      <c r="E102" s="31">
        <f>Справочник!$F$12</f>
        <v/>
      </c>
      <c r="F102" s="33">
        <f>G101</f>
        <v/>
      </c>
      <c r="G102" s="33">
        <f>F102+E102</f>
        <v/>
      </c>
      <c r="H102" s="31" t="n"/>
      <c r="I102" s="31" t="n"/>
      <c r="J102" s="31" t="n"/>
      <c r="K102" s="31" t="n"/>
      <c r="L102" s="31" t="n"/>
      <c r="M102" s="31" t="n"/>
      <c r="N102" s="31" t="n"/>
    </row>
    <row r="103" outlineLevel="1" ht="24" customHeight="1">
      <c r="A103" s="11" t="n">
        <v>8</v>
      </c>
      <c r="B103" s="12">
        <f>Справочник!$B$13</f>
        <v/>
      </c>
      <c r="C103" s="11" t="n"/>
      <c r="D103" s="11" t="n"/>
      <c r="E103" s="11">
        <f>Справочник!$F$13</f>
        <v/>
      </c>
      <c r="F103" s="34">
        <f>G102</f>
        <v/>
      </c>
      <c r="G103" s="34">
        <f>F103+E103</f>
        <v/>
      </c>
      <c r="H103" s="11" t="n"/>
      <c r="I103" s="11" t="n"/>
      <c r="J103" s="11" t="n"/>
      <c r="K103" s="11" t="n"/>
      <c r="L103" s="11" t="n"/>
      <c r="M103" s="11" t="n"/>
      <c r="N103" s="11" t="n"/>
    </row>
    <row r="105" ht="30" customHeight="1">
      <c r="A105" s="25" t="n">
        <v>11</v>
      </c>
      <c r="B105" s="26" t="inlineStr">
        <is>
          <t>Тех.оснастка (ОК-245)</t>
        </is>
      </c>
      <c r="C105" s="25">
        <f>Справочник!$C$43</f>
        <v/>
      </c>
      <c r="D105" s="25">
        <f>Справочник!$H$43</f>
        <v/>
      </c>
      <c r="E105" s="25">
        <f>SUM(E106:E113)</f>
        <v/>
      </c>
      <c r="F105" s="27" t="inlineStr">
        <is>
          <t>Этап крепления: Экспл. колонна ОК-245</t>
        </is>
      </c>
      <c r="G105" s="25" t="n"/>
      <c r="H105" s="28">
        <f>Справочник!$E$28</f>
        <v/>
      </c>
      <c r="I105" s="28">
        <f>H105-E105</f>
        <v/>
      </c>
      <c r="J105" s="29" t="n">
        <v>46425</v>
      </c>
      <c r="K105" s="28">
        <f>G113</f>
        <v/>
      </c>
      <c r="L105" s="25">
        <f>H105-K105</f>
        <v/>
      </c>
      <c r="M105" s="25">
        <f>IF(L105&lt;0,"СРЫВ ГРАФИКА",IF(L105&lt;14,"РИСК","В ГРАФИКЕ"))</f>
        <v/>
      </c>
      <c r="N105" s="30" t="inlineStr"/>
    </row>
    <row r="106" outlineLevel="1" ht="24" customHeight="1">
      <c r="A106" s="31" t="n">
        <v>1</v>
      </c>
      <c r="B106" s="32">
        <f>Справочник!$B$6</f>
        <v/>
      </c>
      <c r="C106" s="31" t="n"/>
      <c r="D106" s="31" t="n"/>
      <c r="E106" s="31">
        <f>Справочник!$F$6</f>
        <v/>
      </c>
      <c r="F106" s="33">
        <f>J105</f>
        <v/>
      </c>
      <c r="G106" s="33">
        <f>F106+E106</f>
        <v/>
      </c>
      <c r="H106" s="31" t="n"/>
      <c r="I106" s="31" t="n"/>
      <c r="J106" s="31" t="n"/>
      <c r="K106" s="31" t="n"/>
      <c r="L106" s="31" t="n"/>
      <c r="M106" s="31" t="n"/>
      <c r="N106" s="31" t="n"/>
    </row>
    <row r="107" outlineLevel="1" ht="24" customHeight="1">
      <c r="A107" s="11" t="n">
        <v>2</v>
      </c>
      <c r="B107" s="12">
        <f>Справочник!$B$7</f>
        <v/>
      </c>
      <c r="C107" s="11" t="n"/>
      <c r="D107" s="11" t="n"/>
      <c r="E107" s="11">
        <f>Справочник!$F$7</f>
        <v/>
      </c>
      <c r="F107" s="34">
        <f>G106</f>
        <v/>
      </c>
      <c r="G107" s="34">
        <f>F107+E107</f>
        <v/>
      </c>
      <c r="H107" s="11" t="n"/>
      <c r="I107" s="11" t="n"/>
      <c r="J107" s="11" t="n"/>
      <c r="K107" s="11" t="n"/>
      <c r="L107" s="11" t="n"/>
      <c r="M107" s="11" t="n"/>
      <c r="N107" s="11" t="n"/>
    </row>
    <row r="108" outlineLevel="1" ht="24" customHeight="1">
      <c r="A108" s="31" t="n">
        <v>3</v>
      </c>
      <c r="B108" s="32">
        <f>Справочник!$B$8</f>
        <v/>
      </c>
      <c r="C108" s="31" t="n"/>
      <c r="D108" s="31" t="n"/>
      <c r="E108" s="31">
        <f>Справочник!$F$8</f>
        <v/>
      </c>
      <c r="F108" s="33">
        <f>G107</f>
        <v/>
      </c>
      <c r="G108" s="33">
        <f>F108+E108</f>
        <v/>
      </c>
      <c r="H108" s="31" t="n"/>
      <c r="I108" s="31" t="n"/>
      <c r="J108" s="31" t="n"/>
      <c r="K108" s="31" t="n"/>
      <c r="L108" s="31" t="n"/>
      <c r="M108" s="31" t="n"/>
      <c r="N108" s="31" t="n"/>
    </row>
    <row r="109" outlineLevel="1" ht="24" customHeight="1">
      <c r="A109" s="11" t="n">
        <v>4</v>
      </c>
      <c r="B109" s="12">
        <f>Справочник!$B$9</f>
        <v/>
      </c>
      <c r="C109" s="11" t="n"/>
      <c r="D109" s="11" t="n"/>
      <c r="E109" s="11">
        <f>Справочник!$F$9</f>
        <v/>
      </c>
      <c r="F109" s="34">
        <f>G108</f>
        <v/>
      </c>
      <c r="G109" s="34">
        <f>F109+E109</f>
        <v/>
      </c>
      <c r="H109" s="11" t="n"/>
      <c r="I109" s="11" t="n"/>
      <c r="J109" s="11" t="n"/>
      <c r="K109" s="11" t="n"/>
      <c r="L109" s="11" t="n"/>
      <c r="M109" s="11" t="n"/>
      <c r="N109" s="11" t="n"/>
    </row>
    <row r="110" outlineLevel="1" ht="24" customHeight="1">
      <c r="A110" s="31" t="n">
        <v>5</v>
      </c>
      <c r="B110" s="32">
        <f>Справочник!$B$10</f>
        <v/>
      </c>
      <c r="C110" s="31" t="n"/>
      <c r="D110" s="31" t="n"/>
      <c r="E110" s="31">
        <f>Справочник!$F$10</f>
        <v/>
      </c>
      <c r="F110" s="33">
        <f>G109</f>
        <v/>
      </c>
      <c r="G110" s="33">
        <f>F110+E110</f>
        <v/>
      </c>
      <c r="H110" s="31" t="n"/>
      <c r="I110" s="31" t="n"/>
      <c r="J110" s="31" t="n"/>
      <c r="K110" s="31" t="n"/>
      <c r="L110" s="31" t="n"/>
      <c r="M110" s="31" t="n"/>
      <c r="N110" s="31" t="n"/>
    </row>
    <row r="111" outlineLevel="1" ht="24" customHeight="1">
      <c r="A111" s="11" t="n">
        <v>6</v>
      </c>
      <c r="B111" s="12">
        <f>Справочник!$B$11</f>
        <v/>
      </c>
      <c r="C111" s="11" t="n"/>
      <c r="D111" s="11" t="n"/>
      <c r="E111" s="11">
        <f>Справочник!$F$11</f>
        <v/>
      </c>
      <c r="F111" s="34">
        <f>G110</f>
        <v/>
      </c>
      <c r="G111" s="34">
        <f>F111+E111</f>
        <v/>
      </c>
      <c r="H111" s="11" t="n"/>
      <c r="I111" s="11" t="n"/>
      <c r="J111" s="11" t="n"/>
      <c r="K111" s="11" t="n"/>
      <c r="L111" s="11" t="n"/>
      <c r="M111" s="11" t="n"/>
      <c r="N111" s="11" t="n"/>
    </row>
    <row r="112" outlineLevel="1" ht="24" customHeight="1">
      <c r="A112" s="31" t="n">
        <v>7</v>
      </c>
      <c r="B112" s="32">
        <f>Справочник!$B$12</f>
        <v/>
      </c>
      <c r="C112" s="31" t="n"/>
      <c r="D112" s="31" t="n"/>
      <c r="E112" s="31">
        <f>Справочник!$F$12</f>
        <v/>
      </c>
      <c r="F112" s="33">
        <f>G111</f>
        <v/>
      </c>
      <c r="G112" s="33">
        <f>F112+E112</f>
        <v/>
      </c>
      <c r="H112" s="31" t="n"/>
      <c r="I112" s="31" t="n"/>
      <c r="J112" s="31" t="n"/>
      <c r="K112" s="31" t="n"/>
      <c r="L112" s="31" t="n"/>
      <c r="M112" s="31" t="n"/>
      <c r="N112" s="31" t="n"/>
    </row>
    <row r="113" outlineLevel="1" ht="24" customHeight="1">
      <c r="A113" s="11" t="n">
        <v>8</v>
      </c>
      <c r="B113" s="12">
        <f>Справочник!$B$13</f>
        <v/>
      </c>
      <c r="C113" s="11" t="n"/>
      <c r="D113" s="11" t="n"/>
      <c r="E113" s="11">
        <f>Справочник!$F$13</f>
        <v/>
      </c>
      <c r="F113" s="34">
        <f>G112</f>
        <v/>
      </c>
      <c r="G113" s="34">
        <f>F113+E113</f>
        <v/>
      </c>
      <c r="H113" s="11" t="n"/>
      <c r="I113" s="11" t="n"/>
      <c r="J113" s="11" t="n"/>
      <c r="K113" s="11" t="n"/>
      <c r="L113" s="11" t="n"/>
      <c r="M113" s="11" t="n"/>
      <c r="N113" s="11" t="n"/>
    </row>
    <row r="115" ht="30" customHeight="1">
      <c r="A115" s="25" t="n">
        <v>12</v>
      </c>
      <c r="B115" s="26" t="inlineStr">
        <is>
          <t>Тех.оснастка (ОК-168)</t>
        </is>
      </c>
      <c r="C115" s="25">
        <f>Справочник!$C$44</f>
        <v/>
      </c>
      <c r="D115" s="25">
        <f>Справочник!$H$44</f>
        <v/>
      </c>
      <c r="E115" s="25">
        <f>SUM(E116:E123)</f>
        <v/>
      </c>
      <c r="F115" s="27" t="inlineStr">
        <is>
          <t>Этап крепления: Хвостовик ОК-168</t>
        </is>
      </c>
      <c r="G115" s="25" t="n"/>
      <c r="H115" s="28">
        <f>Справочник!$E$29</f>
        <v/>
      </c>
      <c r="I115" s="28">
        <f>H115-E115</f>
        <v/>
      </c>
      <c r="J115" s="29" t="n">
        <v>46440</v>
      </c>
      <c r="K115" s="28">
        <f>G123</f>
        <v/>
      </c>
      <c r="L115" s="25">
        <f>H115-K115</f>
        <v/>
      </c>
      <c r="M115" s="25">
        <f>IF(L115&lt;0,"СРЫВ ГРАФИКА",IF(L115&lt;14,"РИСК","В ГРАФИКЕ"))</f>
        <v/>
      </c>
      <c r="N115" s="30" t="inlineStr"/>
    </row>
    <row r="116" outlineLevel="1" ht="24" customHeight="1">
      <c r="A116" s="31" t="n">
        <v>1</v>
      </c>
      <c r="B116" s="32">
        <f>Справочник!$B$6</f>
        <v/>
      </c>
      <c r="C116" s="31" t="n"/>
      <c r="D116" s="31" t="n"/>
      <c r="E116" s="31">
        <f>Справочник!$F$6</f>
        <v/>
      </c>
      <c r="F116" s="33">
        <f>J115</f>
        <v/>
      </c>
      <c r="G116" s="33">
        <f>F116+E116</f>
        <v/>
      </c>
      <c r="H116" s="31" t="n"/>
      <c r="I116" s="31" t="n"/>
      <c r="J116" s="31" t="n"/>
      <c r="K116" s="31" t="n"/>
      <c r="L116" s="31" t="n"/>
      <c r="M116" s="31" t="n"/>
      <c r="N116" s="31" t="n"/>
    </row>
    <row r="117" outlineLevel="1" ht="24" customHeight="1">
      <c r="A117" s="11" t="n">
        <v>2</v>
      </c>
      <c r="B117" s="12">
        <f>Справочник!$B$7</f>
        <v/>
      </c>
      <c r="C117" s="11" t="n"/>
      <c r="D117" s="11" t="n"/>
      <c r="E117" s="11">
        <f>Справочник!$F$7</f>
        <v/>
      </c>
      <c r="F117" s="34">
        <f>G116</f>
        <v/>
      </c>
      <c r="G117" s="34">
        <f>F117+E117</f>
        <v/>
      </c>
      <c r="H117" s="11" t="n"/>
      <c r="I117" s="11" t="n"/>
      <c r="J117" s="11" t="n"/>
      <c r="K117" s="11" t="n"/>
      <c r="L117" s="11" t="n"/>
      <c r="M117" s="11" t="n"/>
      <c r="N117" s="11" t="n"/>
    </row>
    <row r="118" outlineLevel="1" ht="24" customHeight="1">
      <c r="A118" s="31" t="n">
        <v>3</v>
      </c>
      <c r="B118" s="32">
        <f>Справочник!$B$8</f>
        <v/>
      </c>
      <c r="C118" s="31" t="n"/>
      <c r="D118" s="31" t="n"/>
      <c r="E118" s="31">
        <f>Справочник!$F$8</f>
        <v/>
      </c>
      <c r="F118" s="33">
        <f>G117</f>
        <v/>
      </c>
      <c r="G118" s="33">
        <f>F118+E118</f>
        <v/>
      </c>
      <c r="H118" s="31" t="n"/>
      <c r="I118" s="31" t="n"/>
      <c r="J118" s="31" t="n"/>
      <c r="K118" s="31" t="n"/>
      <c r="L118" s="31" t="n"/>
      <c r="M118" s="31" t="n"/>
      <c r="N118" s="31" t="n"/>
    </row>
    <row r="119" outlineLevel="1" ht="24" customHeight="1">
      <c r="A119" s="11" t="n">
        <v>4</v>
      </c>
      <c r="B119" s="12">
        <f>Справочник!$B$9</f>
        <v/>
      </c>
      <c r="C119" s="11" t="n"/>
      <c r="D119" s="11" t="n"/>
      <c r="E119" s="11">
        <f>Справочник!$F$9</f>
        <v/>
      </c>
      <c r="F119" s="34">
        <f>G118</f>
        <v/>
      </c>
      <c r="G119" s="34">
        <f>F119+E119</f>
        <v/>
      </c>
      <c r="H119" s="11" t="n"/>
      <c r="I119" s="11" t="n"/>
      <c r="J119" s="11" t="n"/>
      <c r="K119" s="11" t="n"/>
      <c r="L119" s="11" t="n"/>
      <c r="M119" s="11" t="n"/>
      <c r="N119" s="11" t="n"/>
    </row>
    <row r="120" outlineLevel="1" ht="24" customHeight="1">
      <c r="A120" s="31" t="n">
        <v>5</v>
      </c>
      <c r="B120" s="32">
        <f>Справочник!$B$10</f>
        <v/>
      </c>
      <c r="C120" s="31" t="n"/>
      <c r="D120" s="31" t="n"/>
      <c r="E120" s="31">
        <f>Справочник!$F$10</f>
        <v/>
      </c>
      <c r="F120" s="33">
        <f>G119</f>
        <v/>
      </c>
      <c r="G120" s="33">
        <f>F120+E120</f>
        <v/>
      </c>
      <c r="H120" s="31" t="n"/>
      <c r="I120" s="31" t="n"/>
      <c r="J120" s="31" t="n"/>
      <c r="K120" s="31" t="n"/>
      <c r="L120" s="31" t="n"/>
      <c r="M120" s="31" t="n"/>
      <c r="N120" s="31" t="n"/>
    </row>
    <row r="121" outlineLevel="1" ht="24" customHeight="1">
      <c r="A121" s="11" t="n">
        <v>6</v>
      </c>
      <c r="B121" s="12">
        <f>Справочник!$B$11</f>
        <v/>
      </c>
      <c r="C121" s="11" t="n"/>
      <c r="D121" s="11" t="n"/>
      <c r="E121" s="11">
        <f>Справочник!$F$11</f>
        <v/>
      </c>
      <c r="F121" s="34">
        <f>G120</f>
        <v/>
      </c>
      <c r="G121" s="34">
        <f>F121+E121</f>
        <v/>
      </c>
      <c r="H121" s="11" t="n"/>
      <c r="I121" s="11" t="n"/>
      <c r="J121" s="11" t="n"/>
      <c r="K121" s="11" t="n"/>
      <c r="L121" s="11" t="n"/>
      <c r="M121" s="11" t="n"/>
      <c r="N121" s="11" t="n"/>
    </row>
    <row r="122" outlineLevel="1" ht="24" customHeight="1">
      <c r="A122" s="31" t="n">
        <v>7</v>
      </c>
      <c r="B122" s="32">
        <f>Справочник!$B$12</f>
        <v/>
      </c>
      <c r="C122" s="31" t="n"/>
      <c r="D122" s="31" t="n"/>
      <c r="E122" s="31">
        <f>Справочник!$F$12</f>
        <v/>
      </c>
      <c r="F122" s="33">
        <f>G121</f>
        <v/>
      </c>
      <c r="G122" s="33">
        <f>F122+E122</f>
        <v/>
      </c>
      <c r="H122" s="31" t="n"/>
      <c r="I122" s="31" t="n"/>
      <c r="J122" s="31" t="n"/>
      <c r="K122" s="31" t="n"/>
      <c r="L122" s="31" t="n"/>
      <c r="M122" s="31" t="n"/>
      <c r="N122" s="31" t="n"/>
    </row>
    <row r="123" outlineLevel="1" ht="24" customHeight="1">
      <c r="A123" s="11" t="n">
        <v>8</v>
      </c>
      <c r="B123" s="12">
        <f>Справочник!$B$13</f>
        <v/>
      </c>
      <c r="C123" s="11" t="n"/>
      <c r="D123" s="11" t="n"/>
      <c r="E123" s="11">
        <f>Справочник!$F$13</f>
        <v/>
      </c>
      <c r="F123" s="34">
        <f>G122</f>
        <v/>
      </c>
      <c r="G123" s="34">
        <f>F123+E123</f>
        <v/>
      </c>
      <c r="H123" s="11" t="n"/>
      <c r="I123" s="11" t="n"/>
      <c r="J123" s="11" t="n"/>
      <c r="K123" s="11" t="n"/>
      <c r="L123" s="11" t="n"/>
      <c r="M123" s="11" t="n"/>
      <c r="N123" s="11" t="n"/>
    </row>
    <row r="125" ht="30" customHeight="1">
      <c r="A125" s="25" t="n">
        <v>13</v>
      </c>
      <c r="B125" s="26" t="inlineStr">
        <is>
          <t>Пакер набухающий термостойкий</t>
        </is>
      </c>
      <c r="C125" s="25">
        <f>Справочник!$C$45</f>
        <v/>
      </c>
      <c r="D125" s="25">
        <f>Справочник!$H$45</f>
        <v/>
      </c>
      <c r="E125" s="25">
        <f>SUM(E126:E133)</f>
        <v/>
      </c>
      <c r="F125" s="27" t="inlineStr">
        <is>
          <t>Этап крепления: Хвостовик ОК-168</t>
        </is>
      </c>
      <c r="G125" s="25" t="n"/>
      <c r="H125" s="28">
        <f>Справочник!$E$29</f>
        <v/>
      </c>
      <c r="I125" s="28">
        <f>H125-E125</f>
        <v/>
      </c>
      <c r="J125" s="29" t="n">
        <v>46401</v>
      </c>
      <c r="K125" s="28">
        <f>G133</f>
        <v/>
      </c>
      <c r="L125" s="25">
        <f>H125-K125</f>
        <v/>
      </c>
      <c r="M125" s="25">
        <f>IF(L125&lt;0,"СРЫВ ГРАФИКА",IF(L125&lt;14,"РИСК","В ГРАФИКЕ"))</f>
        <v/>
      </c>
      <c r="N125" s="30" t="inlineStr"/>
    </row>
    <row r="126" outlineLevel="1" ht="24" customHeight="1">
      <c r="A126" s="31" t="n">
        <v>1</v>
      </c>
      <c r="B126" s="32">
        <f>Справочник!$B$6</f>
        <v/>
      </c>
      <c r="C126" s="31" t="n"/>
      <c r="D126" s="31" t="n"/>
      <c r="E126" s="31">
        <f>Справочник!$G$6</f>
        <v/>
      </c>
      <c r="F126" s="33">
        <f>J125</f>
        <v/>
      </c>
      <c r="G126" s="33">
        <f>F126+E126</f>
        <v/>
      </c>
      <c r="H126" s="31" t="n"/>
      <c r="I126" s="31" t="n"/>
      <c r="J126" s="31" t="n"/>
      <c r="K126" s="31" t="n"/>
      <c r="L126" s="31" t="n"/>
      <c r="M126" s="31" t="n"/>
      <c r="N126" s="31" t="n"/>
    </row>
    <row r="127" outlineLevel="1" ht="24" customHeight="1">
      <c r="A127" s="11" t="n">
        <v>2</v>
      </c>
      <c r="B127" s="12">
        <f>Справочник!$B$7</f>
        <v/>
      </c>
      <c r="C127" s="11" t="n"/>
      <c r="D127" s="11" t="n"/>
      <c r="E127" s="11">
        <f>Справочник!$G$7</f>
        <v/>
      </c>
      <c r="F127" s="34">
        <f>G126</f>
        <v/>
      </c>
      <c r="G127" s="34">
        <f>F127+E127</f>
        <v/>
      </c>
      <c r="H127" s="11" t="n"/>
      <c r="I127" s="11" t="n"/>
      <c r="J127" s="11" t="n"/>
      <c r="K127" s="11" t="n"/>
      <c r="L127" s="11" t="n"/>
      <c r="M127" s="11" t="n"/>
      <c r="N127" s="11" t="n"/>
    </row>
    <row r="128" outlineLevel="1" ht="24" customHeight="1">
      <c r="A128" s="31" t="n">
        <v>3</v>
      </c>
      <c r="B128" s="32">
        <f>Справочник!$B$8</f>
        <v/>
      </c>
      <c r="C128" s="31" t="n"/>
      <c r="D128" s="31" t="n"/>
      <c r="E128" s="31">
        <f>Справочник!$G$8</f>
        <v/>
      </c>
      <c r="F128" s="33">
        <f>G127</f>
        <v/>
      </c>
      <c r="G128" s="33">
        <f>F128+E128</f>
        <v/>
      </c>
      <c r="H128" s="31" t="n"/>
      <c r="I128" s="31" t="n"/>
      <c r="J128" s="31" t="n"/>
      <c r="K128" s="31" t="n"/>
      <c r="L128" s="31" t="n"/>
      <c r="M128" s="31" t="n"/>
      <c r="N128" s="31" t="n"/>
    </row>
    <row r="129" outlineLevel="1" ht="24" customHeight="1">
      <c r="A129" s="11" t="n">
        <v>4</v>
      </c>
      <c r="B129" s="12">
        <f>Справочник!$B$9</f>
        <v/>
      </c>
      <c r="C129" s="11" t="n"/>
      <c r="D129" s="11" t="n"/>
      <c r="E129" s="11">
        <f>Справочник!$G$9</f>
        <v/>
      </c>
      <c r="F129" s="34">
        <f>G128</f>
        <v/>
      </c>
      <c r="G129" s="34">
        <f>F129+E129</f>
        <v/>
      </c>
      <c r="H129" s="11" t="n"/>
      <c r="I129" s="11" t="n"/>
      <c r="J129" s="11" t="n"/>
      <c r="K129" s="11" t="n"/>
      <c r="L129" s="11" t="n"/>
      <c r="M129" s="11" t="n"/>
      <c r="N129" s="11" t="n"/>
    </row>
    <row r="130" outlineLevel="1" ht="24" customHeight="1">
      <c r="A130" s="31" t="n">
        <v>5</v>
      </c>
      <c r="B130" s="32">
        <f>Справочник!$B$10</f>
        <v/>
      </c>
      <c r="C130" s="31" t="n"/>
      <c r="D130" s="31" t="n"/>
      <c r="E130" s="31">
        <f>Справочник!$G$10</f>
        <v/>
      </c>
      <c r="F130" s="33">
        <f>G129</f>
        <v/>
      </c>
      <c r="G130" s="33">
        <f>F130+E130</f>
        <v/>
      </c>
      <c r="H130" s="31" t="n"/>
      <c r="I130" s="31" t="n"/>
      <c r="J130" s="31" t="n"/>
      <c r="K130" s="31" t="n"/>
      <c r="L130" s="31" t="n"/>
      <c r="M130" s="31" t="n"/>
      <c r="N130" s="31" t="n"/>
    </row>
    <row r="131" outlineLevel="1" ht="24" customHeight="1">
      <c r="A131" s="11" t="n">
        <v>6</v>
      </c>
      <c r="B131" s="12">
        <f>Справочник!$B$11</f>
        <v/>
      </c>
      <c r="C131" s="11" t="n"/>
      <c r="D131" s="11" t="n"/>
      <c r="E131" s="11">
        <f>Справочник!$G$11</f>
        <v/>
      </c>
      <c r="F131" s="34">
        <f>G130</f>
        <v/>
      </c>
      <c r="G131" s="34">
        <f>F131+E131</f>
        <v/>
      </c>
      <c r="H131" s="11" t="n"/>
      <c r="I131" s="11" t="n"/>
      <c r="J131" s="11" t="n"/>
      <c r="K131" s="11" t="n"/>
      <c r="L131" s="11" t="n"/>
      <c r="M131" s="11" t="n"/>
      <c r="N131" s="11" t="n"/>
    </row>
    <row r="132" outlineLevel="1" ht="24" customHeight="1">
      <c r="A132" s="31" t="n">
        <v>7</v>
      </c>
      <c r="B132" s="32">
        <f>Справочник!$B$12</f>
        <v/>
      </c>
      <c r="C132" s="31" t="n"/>
      <c r="D132" s="31" t="n"/>
      <c r="E132" s="31">
        <f>Справочник!$G$12</f>
        <v/>
      </c>
      <c r="F132" s="33">
        <f>G131</f>
        <v/>
      </c>
      <c r="G132" s="33">
        <f>F132+E132</f>
        <v/>
      </c>
      <c r="H132" s="31" t="n"/>
      <c r="I132" s="31" t="n"/>
      <c r="J132" s="31" t="n"/>
      <c r="K132" s="31" t="n"/>
      <c r="L132" s="31" t="n"/>
      <c r="M132" s="31" t="n"/>
      <c r="N132" s="31" t="n"/>
    </row>
    <row r="133" outlineLevel="1" ht="24" customHeight="1">
      <c r="A133" s="11" t="n">
        <v>8</v>
      </c>
      <c r="B133" s="12">
        <f>Справочник!$B$13</f>
        <v/>
      </c>
      <c r="C133" s="11" t="n"/>
      <c r="D133" s="11" t="n"/>
      <c r="E133" s="11">
        <f>Справочник!$G$13</f>
        <v/>
      </c>
      <c r="F133" s="34">
        <f>G132</f>
        <v/>
      </c>
      <c r="G133" s="34">
        <f>F133+E133</f>
        <v/>
      </c>
      <c r="H133" s="11" t="n"/>
      <c r="I133" s="11" t="n"/>
      <c r="J133" s="11" t="n"/>
      <c r="K133" s="11" t="n"/>
      <c r="L133" s="11" t="n"/>
      <c r="M133" s="11" t="n"/>
      <c r="N133" s="11" t="n"/>
    </row>
    <row r="135" ht="30" customHeight="1">
      <c r="A135" s="25" t="n">
        <v>14</v>
      </c>
      <c r="B135" s="26" t="inlineStr">
        <is>
          <t>Разъединительный переводник 245/168</t>
        </is>
      </c>
      <c r="C135" s="25">
        <f>Справочник!$C$46</f>
        <v/>
      </c>
      <c r="D135" s="25">
        <f>Справочник!$H$46</f>
        <v/>
      </c>
      <c r="E135" s="25">
        <f>SUM(E136:E143)</f>
        <v/>
      </c>
      <c r="F135" s="27" t="inlineStr">
        <is>
          <t>Этап крепления: Хвостовик ОК-168</t>
        </is>
      </c>
      <c r="G135" s="25" t="n"/>
      <c r="H135" s="28">
        <f>Справочник!$E$29</f>
        <v/>
      </c>
      <c r="I135" s="28">
        <f>H135-E135</f>
        <v/>
      </c>
      <c r="J135" s="29" t="n">
        <v>46401</v>
      </c>
      <c r="K135" s="28">
        <f>G143</f>
        <v/>
      </c>
      <c r="L135" s="25">
        <f>H135-K135</f>
        <v/>
      </c>
      <c r="M135" s="25">
        <f>IF(L135&lt;0,"СРЫВ ГРАФИКА",IF(L135&lt;14,"РИСК","В ГРАФИКЕ"))</f>
        <v/>
      </c>
      <c r="N135" s="30" t="inlineStr"/>
    </row>
    <row r="136" outlineLevel="1" ht="24" customHeight="1">
      <c r="A136" s="31" t="n">
        <v>1</v>
      </c>
      <c r="B136" s="32">
        <f>Справочник!$B$6</f>
        <v/>
      </c>
      <c r="C136" s="31" t="n"/>
      <c r="D136" s="31" t="n"/>
      <c r="E136" s="31">
        <f>Справочник!$G$6</f>
        <v/>
      </c>
      <c r="F136" s="33">
        <f>J135</f>
        <v/>
      </c>
      <c r="G136" s="33">
        <f>F136+E136</f>
        <v/>
      </c>
      <c r="H136" s="31" t="n"/>
      <c r="I136" s="31" t="n"/>
      <c r="J136" s="31" t="n"/>
      <c r="K136" s="31" t="n"/>
      <c r="L136" s="31" t="n"/>
      <c r="M136" s="31" t="n"/>
      <c r="N136" s="31" t="n"/>
    </row>
    <row r="137" outlineLevel="1" ht="24" customHeight="1">
      <c r="A137" s="11" t="n">
        <v>2</v>
      </c>
      <c r="B137" s="12">
        <f>Справочник!$B$7</f>
        <v/>
      </c>
      <c r="C137" s="11" t="n"/>
      <c r="D137" s="11" t="n"/>
      <c r="E137" s="11">
        <f>Справочник!$G$7</f>
        <v/>
      </c>
      <c r="F137" s="34">
        <f>G136</f>
        <v/>
      </c>
      <c r="G137" s="34">
        <f>F137+E137</f>
        <v/>
      </c>
      <c r="H137" s="11" t="n"/>
      <c r="I137" s="11" t="n"/>
      <c r="J137" s="11" t="n"/>
      <c r="K137" s="11" t="n"/>
      <c r="L137" s="11" t="n"/>
      <c r="M137" s="11" t="n"/>
      <c r="N137" s="11" t="n"/>
    </row>
    <row r="138" outlineLevel="1" ht="24" customHeight="1">
      <c r="A138" s="31" t="n">
        <v>3</v>
      </c>
      <c r="B138" s="32">
        <f>Справочник!$B$8</f>
        <v/>
      </c>
      <c r="C138" s="31" t="n"/>
      <c r="D138" s="31" t="n"/>
      <c r="E138" s="31">
        <f>Справочник!$G$8</f>
        <v/>
      </c>
      <c r="F138" s="33">
        <f>G137</f>
        <v/>
      </c>
      <c r="G138" s="33">
        <f>F138+E138</f>
        <v/>
      </c>
      <c r="H138" s="31" t="n"/>
      <c r="I138" s="31" t="n"/>
      <c r="J138" s="31" t="n"/>
      <c r="K138" s="31" t="n"/>
      <c r="L138" s="31" t="n"/>
      <c r="M138" s="31" t="n"/>
      <c r="N138" s="31" t="n"/>
    </row>
    <row r="139" outlineLevel="1" ht="24" customHeight="1">
      <c r="A139" s="11" t="n">
        <v>4</v>
      </c>
      <c r="B139" s="12">
        <f>Справочник!$B$9</f>
        <v/>
      </c>
      <c r="C139" s="11" t="n"/>
      <c r="D139" s="11" t="n"/>
      <c r="E139" s="11">
        <f>Справочник!$G$9</f>
        <v/>
      </c>
      <c r="F139" s="34">
        <f>G138</f>
        <v/>
      </c>
      <c r="G139" s="34">
        <f>F139+E139</f>
        <v/>
      </c>
      <c r="H139" s="11" t="n"/>
      <c r="I139" s="11" t="n"/>
      <c r="J139" s="11" t="n"/>
      <c r="K139" s="11" t="n"/>
      <c r="L139" s="11" t="n"/>
      <c r="M139" s="11" t="n"/>
      <c r="N139" s="11" t="n"/>
    </row>
    <row r="140" outlineLevel="1" ht="24" customHeight="1">
      <c r="A140" s="31" t="n">
        <v>5</v>
      </c>
      <c r="B140" s="32">
        <f>Справочник!$B$10</f>
        <v/>
      </c>
      <c r="C140" s="31" t="n"/>
      <c r="D140" s="31" t="n"/>
      <c r="E140" s="31">
        <f>Справочник!$G$10</f>
        <v/>
      </c>
      <c r="F140" s="33">
        <f>G139</f>
        <v/>
      </c>
      <c r="G140" s="33">
        <f>F140+E140</f>
        <v/>
      </c>
      <c r="H140" s="31" t="n"/>
      <c r="I140" s="31" t="n"/>
      <c r="J140" s="31" t="n"/>
      <c r="K140" s="31" t="n"/>
      <c r="L140" s="31" t="n"/>
      <c r="M140" s="31" t="n"/>
      <c r="N140" s="31" t="n"/>
    </row>
    <row r="141" outlineLevel="1" ht="24" customHeight="1">
      <c r="A141" s="11" t="n">
        <v>6</v>
      </c>
      <c r="B141" s="12">
        <f>Справочник!$B$11</f>
        <v/>
      </c>
      <c r="C141" s="11" t="n"/>
      <c r="D141" s="11" t="n"/>
      <c r="E141" s="11">
        <f>Справочник!$G$11</f>
        <v/>
      </c>
      <c r="F141" s="34">
        <f>G140</f>
        <v/>
      </c>
      <c r="G141" s="34">
        <f>F141+E141</f>
        <v/>
      </c>
      <c r="H141" s="11" t="n"/>
      <c r="I141" s="11" t="n"/>
      <c r="J141" s="11" t="n"/>
      <c r="K141" s="11" t="n"/>
      <c r="L141" s="11" t="n"/>
      <c r="M141" s="11" t="n"/>
      <c r="N141" s="11" t="n"/>
    </row>
    <row r="142" outlineLevel="1" ht="24" customHeight="1">
      <c r="A142" s="31" t="n">
        <v>7</v>
      </c>
      <c r="B142" s="32">
        <f>Справочник!$B$12</f>
        <v/>
      </c>
      <c r="C142" s="31" t="n"/>
      <c r="D142" s="31" t="n"/>
      <c r="E142" s="31">
        <f>Справочник!$G$12</f>
        <v/>
      </c>
      <c r="F142" s="33">
        <f>G141</f>
        <v/>
      </c>
      <c r="G142" s="33">
        <f>F142+E142</f>
        <v/>
      </c>
      <c r="H142" s="31" t="n"/>
      <c r="I142" s="31" t="n"/>
      <c r="J142" s="31" t="n"/>
      <c r="K142" s="31" t="n"/>
      <c r="L142" s="31" t="n"/>
      <c r="M142" s="31" t="n"/>
      <c r="N142" s="31" t="n"/>
    </row>
    <row r="143" outlineLevel="1" ht="24" customHeight="1">
      <c r="A143" s="11" t="n">
        <v>8</v>
      </c>
      <c r="B143" s="12">
        <f>Справочник!$B$13</f>
        <v/>
      </c>
      <c r="C143" s="11" t="n"/>
      <c r="D143" s="11" t="n"/>
      <c r="E143" s="11">
        <f>Справочник!$G$13</f>
        <v/>
      </c>
      <c r="F143" s="34">
        <f>G142</f>
        <v/>
      </c>
      <c r="G143" s="34">
        <f>F143+E143</f>
        <v/>
      </c>
      <c r="H143" s="11" t="n"/>
      <c r="I143" s="11" t="n"/>
      <c r="J143" s="11" t="n"/>
      <c r="K143" s="11" t="n"/>
      <c r="L143" s="11" t="n"/>
      <c r="M143" s="11" t="n"/>
      <c r="N143" s="11" t="n"/>
    </row>
  </sheetData>
  <mergeCells count="16">
    <mergeCell ref="F75:G75"/>
    <mergeCell ref="F55:G55"/>
    <mergeCell ref="F95:G95"/>
    <mergeCell ref="F15:G15"/>
    <mergeCell ref="F125:G125"/>
    <mergeCell ref="F25:G25"/>
    <mergeCell ref="F5:G5"/>
    <mergeCell ref="A2:N2"/>
    <mergeCell ref="F65:G65"/>
    <mergeCell ref="F45:G45"/>
    <mergeCell ref="F85:G85"/>
    <mergeCell ref="F115:G115"/>
    <mergeCell ref="F135:G135"/>
    <mergeCell ref="F35:G35"/>
    <mergeCell ref="F105:G105"/>
    <mergeCell ref="A1:N1"/>
  </mergeCells>
  <conditionalFormatting sqref="L5:M143">
    <cfRule type="expression" priority="1" dxfId="0" stopIfTrue="1">
      <formula>$M5="В ГРАФИКЕ"</formula>
    </cfRule>
    <cfRule type="expression" priority="2" dxfId="1" stopIfTrue="1">
      <formula>$M5="РИСК"</formula>
    </cfRule>
    <cfRule type="expression" priority="3" dxfId="2" stopIfTrue="1">
      <formula>$M5="СРЫВ ГРАФИКА"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C50"/>
  <sheetViews>
    <sheetView showGridLines="0" workbookViewId="0">
      <pane xSplit="12" ySplit="5" topLeftCell="M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44" customWidth="1" min="3" max="3"/>
    <col width="8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9" customWidth="1" min="10" max="10"/>
    <col width="15" customWidth="1" min="11" max="11"/>
    <col width="46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  <col width="2.3" customWidth="1" min="91" max="91"/>
    <col width="2.3" customWidth="1" min="92" max="92"/>
    <col width="2.3" customWidth="1" min="93" max="93"/>
    <col width="2.3" customWidth="1" min="94" max="94"/>
    <col width="2.3" customWidth="1" min="95" max="95"/>
    <col width="2.3" customWidth="1" min="96" max="96"/>
    <col width="2.3" customWidth="1" min="97" max="97"/>
    <col width="2.3" customWidth="1" min="98" max="98"/>
    <col width="2.3" customWidth="1" min="99" max="99"/>
    <col width="2.3" customWidth="1" min="100" max="100"/>
    <col width="2.3" customWidth="1" min="101" max="101"/>
    <col width="2.3" customWidth="1" min="102" max="102"/>
    <col width="2.3" customWidth="1" min="103" max="103"/>
    <col width="2.3" customWidth="1" min="104" max="104"/>
    <col width="2.3" customWidth="1" min="105" max="105"/>
    <col width="2.3" customWidth="1" min="106" max="106"/>
    <col width="2.3" customWidth="1" min="107" max="107"/>
    <col width="2.3" customWidth="1" min="108" max="108"/>
    <col width="2.3" customWidth="1" min="109" max="109"/>
    <col width="2.3" customWidth="1" min="110" max="110"/>
    <col width="2.3" customWidth="1" min="111" max="111"/>
    <col width="2.3" customWidth="1" min="112" max="112"/>
    <col width="2.3" customWidth="1" min="113" max="113"/>
    <col width="2.3" customWidth="1" min="114" max="114"/>
    <col width="2.3" customWidth="1" min="115" max="115"/>
    <col width="2.3" customWidth="1" min="116" max="116"/>
    <col width="2.3" customWidth="1" min="117" max="117"/>
    <col width="2.3" customWidth="1" min="118" max="118"/>
    <col width="2.3" customWidth="1" min="119" max="119"/>
    <col width="2.3" customWidth="1" min="120" max="120"/>
    <col width="2.3" customWidth="1" min="121" max="121"/>
    <col width="2.3" customWidth="1" min="122" max="122"/>
    <col width="2.3" customWidth="1" min="123" max="123"/>
    <col width="2.3" customWidth="1" min="124" max="124"/>
    <col width="2.3" customWidth="1" min="125" max="125"/>
    <col width="2.3" customWidth="1" min="126" max="126"/>
    <col width="2.3" customWidth="1" min="127" max="127"/>
    <col width="2.3" customWidth="1" min="128" max="128"/>
    <col width="2.3" customWidth="1" min="129" max="129"/>
    <col width="2.3" customWidth="1" min="130" max="130"/>
    <col width="2.3" customWidth="1" min="131" max="131"/>
    <col width="2.3" customWidth="1" min="132" max="132"/>
    <col width="2.3" customWidth="1" min="133" max="133"/>
    <col width="2.3" customWidth="1" min="134" max="134"/>
    <col width="2.3" customWidth="1" min="135" max="135"/>
    <col width="2.3" customWidth="1" min="136" max="136"/>
    <col width="2.3" customWidth="1" min="137" max="137"/>
    <col width="2.3" customWidth="1" min="138" max="138"/>
    <col width="2.3" customWidth="1" min="139" max="139"/>
    <col width="2.3" customWidth="1" min="140" max="140"/>
    <col width="2.3" customWidth="1" min="141" max="141"/>
    <col width="2.3" customWidth="1" min="142" max="142"/>
    <col width="2.3" customWidth="1" min="143" max="143"/>
    <col width="2.3" customWidth="1" min="144" max="144"/>
    <col width="2.3" customWidth="1" min="145" max="145"/>
    <col width="2.3" customWidth="1" min="146" max="146"/>
    <col width="2.3" customWidth="1" min="147" max="147"/>
    <col width="2.3" customWidth="1" min="148" max="148"/>
    <col width="2.3" customWidth="1" min="149" max="149"/>
    <col width="2.3" customWidth="1" min="150" max="150"/>
    <col width="2.3" customWidth="1" min="151" max="151"/>
    <col width="2.3" customWidth="1" min="152" max="152"/>
    <col width="2.3" customWidth="1" min="153" max="153"/>
    <col width="2.3" customWidth="1" min="154" max="154"/>
    <col width="2.3" customWidth="1" min="155" max="155"/>
    <col width="2.3" customWidth="1" min="156" max="156"/>
    <col width="2.3" customWidth="1" min="157" max="157"/>
    <col width="2.3" customWidth="1" min="158" max="158"/>
    <col width="2.3" customWidth="1" min="159" max="159"/>
    <col width="2.3" customWidth="1" min="160" max="160"/>
    <col width="2.3" customWidth="1" min="161" max="161"/>
    <col width="2.3" customWidth="1" min="162" max="162"/>
    <col width="2.3" customWidth="1" min="163" max="163"/>
    <col width="2.3" customWidth="1" min="164" max="164"/>
    <col width="2.3" customWidth="1" min="165" max="165"/>
    <col width="2.3" customWidth="1" min="166" max="166"/>
    <col width="2.3" customWidth="1" min="167" max="167"/>
    <col width="2.3" customWidth="1" min="168" max="168"/>
    <col width="2.3" customWidth="1" min="169" max="169"/>
    <col width="2.3" customWidth="1" min="170" max="170"/>
    <col width="2.3" customWidth="1" min="171" max="171"/>
    <col width="2.3" customWidth="1" min="172" max="172"/>
    <col width="2.3" customWidth="1" min="173" max="173"/>
    <col width="2.3" customWidth="1" min="174" max="174"/>
    <col width="2.3" customWidth="1" min="175" max="175"/>
    <col width="2.3" customWidth="1" min="176" max="176"/>
    <col width="2.3" customWidth="1" min="177" max="177"/>
    <col width="2.3" customWidth="1" min="178" max="178"/>
    <col width="2.3" customWidth="1" min="179" max="179"/>
    <col width="2.3" customWidth="1" min="180" max="180"/>
    <col width="2.3" customWidth="1" min="181" max="181"/>
    <col width="2.3" customWidth="1" min="182" max="182"/>
    <col width="2.3" customWidth="1" min="183" max="183"/>
    <col width="2.3" customWidth="1" min="184" max="184"/>
    <col width="2.3" customWidth="1" min="185" max="185"/>
    <col width="2.3" customWidth="1" min="186" max="186"/>
    <col width="2.3" customWidth="1" min="187" max="187"/>
    <col width="2.3" customWidth="1" min="188" max="188"/>
    <col width="2.3" customWidth="1" min="189" max="189"/>
    <col width="2.3" customWidth="1" min="190" max="190"/>
    <col width="2.3" customWidth="1" min="191" max="191"/>
    <col width="2.3" customWidth="1" min="192" max="192"/>
    <col width="2.3" customWidth="1" min="193" max="193"/>
    <col width="2.3" customWidth="1" min="194" max="194"/>
    <col width="2.3" customWidth="1" min="195" max="195"/>
    <col width="2.3" customWidth="1" min="196" max="196"/>
    <col width="2.3" customWidth="1" min="197" max="197"/>
    <col width="2.3" customWidth="1" min="198" max="198"/>
    <col width="2.3" customWidth="1" min="199" max="199"/>
    <col width="2.3" customWidth="1" min="200" max="200"/>
    <col width="2.3" customWidth="1" min="201" max="201"/>
    <col width="2.3" customWidth="1" min="202" max="202"/>
    <col width="2.3" customWidth="1" min="203" max="203"/>
    <col width="2.3" customWidth="1" min="204" max="204"/>
    <col width="2.3" customWidth="1" min="205" max="205"/>
    <col width="2.3" customWidth="1" min="206" max="206"/>
    <col width="2.3" customWidth="1" min="207" max="207"/>
    <col width="2.3" customWidth="1" min="208" max="208"/>
    <col width="2.3" customWidth="1" min="209" max="209"/>
    <col width="2.3" customWidth="1" min="210" max="210"/>
    <col width="2.3" customWidth="1" min="211" max="211"/>
    <col width="2.3" customWidth="1" min="212" max="212"/>
    <col width="2.3" customWidth="1" min="213" max="213"/>
    <col width="2.3" customWidth="1" min="214" max="214"/>
    <col width="2.3" customWidth="1" min="215" max="215"/>
    <col width="2.3" customWidth="1" min="216" max="216"/>
    <col width="2.3" customWidth="1" min="217" max="217"/>
    <col width="2.3" customWidth="1" min="218" max="218"/>
    <col width="2.3" customWidth="1" min="219" max="219"/>
    <col width="2.3" customWidth="1" min="220" max="220"/>
    <col width="2.3" customWidth="1" min="221" max="221"/>
    <col width="2.3" customWidth="1" min="222" max="222"/>
    <col width="2.3" customWidth="1" min="223" max="223"/>
    <col width="2.3" customWidth="1" min="224" max="224"/>
    <col width="2.3" customWidth="1" min="225" max="225"/>
    <col width="2.3" customWidth="1" min="226" max="226"/>
    <col width="2.3" customWidth="1" min="227" max="227"/>
    <col width="2.3" customWidth="1" min="228" max="228"/>
    <col width="2.3" customWidth="1" min="229" max="229"/>
    <col width="2.3" customWidth="1" min="230" max="230"/>
    <col width="2.3" customWidth="1" min="231" max="231"/>
    <col width="2.3" customWidth="1" min="232" max="232"/>
    <col width="2.3" customWidth="1" min="233" max="233"/>
    <col width="2.3" customWidth="1" min="234" max="234"/>
    <col width="2.3" customWidth="1" min="235" max="235"/>
    <col width="2.3" customWidth="1" min="236" max="236"/>
    <col width="2.3" customWidth="1" min="237" max="237"/>
    <col width="2.3" customWidth="1" min="238" max="238"/>
    <col width="2.3" customWidth="1" min="239" max="239"/>
    <col width="2.3" customWidth="1" min="240" max="240"/>
    <col width="2.3" customWidth="1" min="241" max="241"/>
    <col width="2.3" customWidth="1" min="242" max="242"/>
    <col width="2.3" customWidth="1" min="243" max="243"/>
    <col width="2.3" customWidth="1" min="244" max="244"/>
    <col width="2.3" customWidth="1" min="245" max="245"/>
    <col width="2.3" customWidth="1" min="246" max="246"/>
    <col width="2.3" customWidth="1" min="247" max="247"/>
    <col width="2.3" customWidth="1" min="248" max="248"/>
    <col width="2.3" customWidth="1" min="249" max="249"/>
    <col width="2.3" customWidth="1" min="250" max="250"/>
    <col width="2.3" customWidth="1" min="251" max="251"/>
    <col width="2.3" customWidth="1" min="252" max="252"/>
    <col width="2.3" customWidth="1" min="253" max="253"/>
    <col width="2.3" customWidth="1" min="254" max="254"/>
    <col width="2.3" customWidth="1" min="255" max="255"/>
    <col width="2.3" customWidth="1" min="256" max="256"/>
    <col width="2.3" customWidth="1" min="257" max="257"/>
    <col width="2.3" customWidth="1" min="258" max="258"/>
    <col width="2.3" customWidth="1" min="259" max="259"/>
    <col width="2.3" customWidth="1" min="260" max="260"/>
    <col width="2.3" customWidth="1" min="261" max="261"/>
    <col width="2.3" customWidth="1" min="262" max="262"/>
    <col width="2.3" customWidth="1" min="263" max="263"/>
    <col width="2.3" customWidth="1" min="264" max="264"/>
    <col width="2.3" customWidth="1" min="265" max="265"/>
    <col width="2.3" customWidth="1" min="266" max="266"/>
    <col width="2.3" customWidth="1" min="267" max="267"/>
    <col width="2.3" customWidth="1" min="268" max="268"/>
    <col width="2.3" customWidth="1" min="269" max="269"/>
    <col width="2.3" customWidth="1" min="270" max="270"/>
    <col width="2.3" customWidth="1" min="271" max="271"/>
    <col width="2.3" customWidth="1" min="272" max="272"/>
    <col width="2.3" customWidth="1" min="273" max="273"/>
    <col width="2.3" customWidth="1" min="274" max="274"/>
    <col width="2.3" customWidth="1" min="275" max="275"/>
    <col width="2.3" customWidth="1" min="276" max="276"/>
    <col width="2.3" customWidth="1" min="277" max="277"/>
    <col width="2.3" customWidth="1" min="278" max="278"/>
    <col width="2.3" customWidth="1" min="279" max="279"/>
    <col width="2.3" customWidth="1" min="280" max="280"/>
    <col width="2.3" customWidth="1" min="281" max="281"/>
    <col width="2.3" customWidth="1" min="282" max="282"/>
    <col width="2.3" customWidth="1" min="283" max="283"/>
    <col width="2.3" customWidth="1" min="284" max="284"/>
    <col width="2.3" customWidth="1" min="285" max="285"/>
    <col width="2.3" customWidth="1" min="286" max="286"/>
    <col width="2.3" customWidth="1" min="287" max="287"/>
    <col width="2.3" customWidth="1" min="288" max="288"/>
    <col width="2.3" customWidth="1" min="289" max="289"/>
    <col width="2.3" customWidth="1" min="290" max="290"/>
    <col width="2.3" customWidth="1" min="291" max="291"/>
    <col width="2.3" customWidth="1" min="292" max="292"/>
    <col width="2.3" customWidth="1" min="293" max="293"/>
    <col width="2.3" customWidth="1" min="294" max="294"/>
    <col width="2.3" customWidth="1" min="295" max="295"/>
    <col width="2.3" customWidth="1" min="296" max="296"/>
    <col width="2.3" customWidth="1" min="297" max="297"/>
    <col width="2.3" customWidth="1" min="298" max="298"/>
    <col width="2.3" customWidth="1" min="299" max="299"/>
    <col width="2.3" customWidth="1" min="300" max="300"/>
    <col width="2.3" customWidth="1" min="301" max="301"/>
    <col width="2.3" customWidth="1" min="302" max="302"/>
    <col width="2.3" customWidth="1" min="303" max="303"/>
    <col width="2.3" customWidth="1" min="304" max="304"/>
    <col width="2.3" customWidth="1" min="305" max="305"/>
    <col width="2.3" customWidth="1" min="306" max="306"/>
    <col width="2.3" customWidth="1" min="307" max="307"/>
    <col width="2.3" customWidth="1" min="308" max="308"/>
    <col width="2.3" customWidth="1" min="309" max="309"/>
    <col width="2.3" customWidth="1" min="310" max="310"/>
    <col width="2.3" customWidth="1" min="311" max="311"/>
    <col width="2.3" customWidth="1" min="312" max="312"/>
    <col width="2.3" customWidth="1" min="313" max="313"/>
    <col width="2.3" customWidth="1" min="314" max="314"/>
    <col width="2.3" customWidth="1" min="315" max="315"/>
  </cols>
  <sheetData>
    <row r="1">
      <c r="A1" s="1" t="inlineStr">
        <is>
          <t>СВОДНЫЙ ГРАФИК ЗАКУПКИ И ДОСТАВКИ МТР ДЛЯ КРЕПЛЕНИЯ СКВАЖИН ЮГ-1, ЮГ-2, ЮГ-3</t>
        </is>
      </c>
    </row>
    <row r="2">
      <c r="A2" s="2" t="inlineStr">
        <is>
          <t>Дата формирования 15.09.2026. Вертикальная линия — текущая дата (пересчитывается функцией СЕГОДНЯ при каждом открытии файла). Цвет линии в строке: ЗЕЛЕНАЯ — в графике, ЖЕЛТАЯ — риск, КРАСНАЯ — срыв графика.</t>
        </is>
      </c>
      <c r="K2" s="35" t="inlineStr">
        <is>
          <t>ОБЩИЙ СТАТУС:</t>
        </is>
      </c>
      <c r="L2" s="36">
        <f>IF(COUNTIF(K6:K50,"СРЫВ ГРАФИКА")&gt;0,"СРЫВ ГРАФИКА",IF(COUNTIF(K6:K50,"РИСК")&gt;0,"РИСК","В ГРАФИКЕ"))</f>
        <v/>
      </c>
    </row>
    <row r="3">
      <c r="A3" s="37" t="inlineStr">
        <is>
          <t>ЛЕГЕНДА:</t>
        </is>
      </c>
      <c r="B3" s="38" t="n"/>
      <c r="C3" s="39" t="inlineStr">
        <is>
          <t>Производственный цикл (заказ, изготовление, затарка)</t>
        </is>
      </c>
      <c r="F3" s="40" t="n"/>
      <c r="G3" s="39" t="inlineStr">
        <is>
          <t>Транспортное плечо (ж/д, море, доставка на скважину)</t>
        </is>
      </c>
      <c r="J3" s="41" t="n"/>
      <c r="K3" s="39" t="inlineStr">
        <is>
          <t>Дата потребности МТР на скважине</t>
        </is>
      </c>
    </row>
    <row r="4" ht="18" customHeight="1">
      <c r="A4" s="10" t="inlineStr">
        <is>
          <t>ПОЗИЦИИ ЗАКУПКИ И ДОСТАВКИ МТР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42" t="inlineStr">
        <is>
          <t>сен 2026</t>
        </is>
      </c>
      <c r="AQ4" s="42" t="inlineStr">
        <is>
          <t>окт 2026</t>
        </is>
      </c>
      <c r="BV4" s="42" t="inlineStr">
        <is>
          <t>ноя 2026</t>
        </is>
      </c>
      <c r="CZ4" s="42" t="inlineStr">
        <is>
          <t>дек 2026</t>
        </is>
      </c>
      <c r="EE4" s="42" t="inlineStr">
        <is>
          <t>янв 2027</t>
        </is>
      </c>
      <c r="FJ4" s="42" t="inlineStr">
        <is>
          <t>фев 2027</t>
        </is>
      </c>
      <c r="GL4" s="42" t="inlineStr">
        <is>
          <t>мар 2027</t>
        </is>
      </c>
      <c r="HQ4" s="42" t="inlineStr">
        <is>
          <t>апр 2027</t>
        </is>
      </c>
      <c r="IU4" s="42" t="inlineStr">
        <is>
          <t>май 2027</t>
        </is>
      </c>
      <c r="JZ4" s="42" t="inlineStr">
        <is>
          <t>июн 2027</t>
        </is>
      </c>
    </row>
    <row r="5" ht="46" customHeight="1">
      <c r="A5" s="10" t="inlineStr">
        <is>
          <t>№</t>
        </is>
      </c>
      <c r="B5" s="10" t="inlineStr">
        <is>
          <t>Скважина</t>
        </is>
      </c>
      <c r="C5" s="10" t="inlineStr">
        <is>
          <t>Наименование МТР</t>
        </is>
      </c>
      <c r="D5" s="10" t="inlineStr">
        <is>
          <t>Ед. изм.</t>
        </is>
      </c>
      <c r="E5" s="10" t="inlineStr">
        <is>
          <t>Кол-во</t>
        </is>
      </c>
      <c r="F5" s="10" t="inlineStr">
        <is>
          <t>Дата начала (план/факт)</t>
        </is>
      </c>
      <c r="G5" s="10" t="inlineStr">
        <is>
          <t>Окончание изготовления</t>
        </is>
      </c>
      <c r="H5" s="10" t="inlineStr">
        <is>
          <t>Прогноз поставки</t>
        </is>
      </c>
      <c r="I5" s="10" t="inlineStr">
        <is>
          <t>ДАТА ПОТРЕБНОСТИ</t>
        </is>
      </c>
      <c r="J5" s="10" t="inlineStr">
        <is>
          <t>Запас, сут</t>
        </is>
      </c>
      <c r="K5" s="10" t="inlineStr">
        <is>
          <t>СТАТУС</t>
        </is>
      </c>
      <c r="L5" s="10" t="inlineStr">
        <is>
          <t>Примечание / компенсирующие мероприятия</t>
        </is>
      </c>
      <c r="M5" s="43" t="n">
        <v>46266</v>
      </c>
      <c r="N5" s="43" t="n">
        <v>46267</v>
      </c>
      <c r="O5" s="43" t="n">
        <v>46268</v>
      </c>
      <c r="P5" s="43" t="n">
        <v>46269</v>
      </c>
      <c r="Q5" s="43" t="n">
        <v>46270</v>
      </c>
      <c r="R5" s="43" t="n">
        <v>46271</v>
      </c>
      <c r="S5" s="43" t="n">
        <v>46272</v>
      </c>
      <c r="T5" s="43" t="n">
        <v>46273</v>
      </c>
      <c r="U5" s="43" t="n">
        <v>46274</v>
      </c>
      <c r="V5" s="43" t="n">
        <v>46275</v>
      </c>
      <c r="W5" s="43" t="n">
        <v>46276</v>
      </c>
      <c r="X5" s="43" t="n">
        <v>46277</v>
      </c>
      <c r="Y5" s="43" t="n">
        <v>46278</v>
      </c>
      <c r="Z5" s="43" t="n">
        <v>46279</v>
      </c>
      <c r="AA5" s="43" t="n">
        <v>46280</v>
      </c>
      <c r="AB5" s="43" t="n">
        <v>46281</v>
      </c>
      <c r="AC5" s="43" t="n">
        <v>46282</v>
      </c>
      <c r="AD5" s="43" t="n">
        <v>46283</v>
      </c>
      <c r="AE5" s="43" t="n">
        <v>46284</v>
      </c>
      <c r="AF5" s="43" t="n">
        <v>46285</v>
      </c>
      <c r="AG5" s="43" t="n">
        <v>46286</v>
      </c>
      <c r="AH5" s="43" t="n">
        <v>46287</v>
      </c>
      <c r="AI5" s="43" t="n">
        <v>46288</v>
      </c>
      <c r="AJ5" s="43" t="n">
        <v>46289</v>
      </c>
      <c r="AK5" s="43" t="n">
        <v>46290</v>
      </c>
      <c r="AL5" s="43" t="n">
        <v>46291</v>
      </c>
      <c r="AM5" s="43" t="n">
        <v>46292</v>
      </c>
      <c r="AN5" s="43" t="n">
        <v>46293</v>
      </c>
      <c r="AO5" s="43" t="n">
        <v>46294</v>
      </c>
      <c r="AP5" s="43" t="n">
        <v>46295</v>
      </c>
      <c r="AQ5" s="43" t="n">
        <v>46296</v>
      </c>
      <c r="AR5" s="43" t="n">
        <v>46297</v>
      </c>
      <c r="AS5" s="43" t="n">
        <v>46298</v>
      </c>
      <c r="AT5" s="43" t="n">
        <v>46299</v>
      </c>
      <c r="AU5" s="43" t="n">
        <v>46300</v>
      </c>
      <c r="AV5" s="43" t="n">
        <v>46301</v>
      </c>
      <c r="AW5" s="43" t="n">
        <v>46302</v>
      </c>
      <c r="AX5" s="43" t="n">
        <v>46303</v>
      </c>
      <c r="AY5" s="43" t="n">
        <v>46304</v>
      </c>
      <c r="AZ5" s="43" t="n">
        <v>46305</v>
      </c>
      <c r="BA5" s="43" t="n">
        <v>46306</v>
      </c>
      <c r="BB5" s="43" t="n">
        <v>46307</v>
      </c>
      <c r="BC5" s="43" t="n">
        <v>46308</v>
      </c>
      <c r="BD5" s="43" t="n">
        <v>46309</v>
      </c>
      <c r="BE5" s="43" t="n">
        <v>46310</v>
      </c>
      <c r="BF5" s="43" t="n">
        <v>46311</v>
      </c>
      <c r="BG5" s="43" t="n">
        <v>46312</v>
      </c>
      <c r="BH5" s="43" t="n">
        <v>46313</v>
      </c>
      <c r="BI5" s="43" t="n">
        <v>46314</v>
      </c>
      <c r="BJ5" s="43" t="n">
        <v>46315</v>
      </c>
      <c r="BK5" s="43" t="n">
        <v>46316</v>
      </c>
      <c r="BL5" s="43" t="n">
        <v>46317</v>
      </c>
      <c r="BM5" s="43" t="n">
        <v>46318</v>
      </c>
      <c r="BN5" s="43" t="n">
        <v>46319</v>
      </c>
      <c r="BO5" s="43" t="n">
        <v>46320</v>
      </c>
      <c r="BP5" s="43" t="n">
        <v>46321</v>
      </c>
      <c r="BQ5" s="43" t="n">
        <v>46322</v>
      </c>
      <c r="BR5" s="43" t="n">
        <v>46323</v>
      </c>
      <c r="BS5" s="43" t="n">
        <v>46324</v>
      </c>
      <c r="BT5" s="43" t="n">
        <v>46325</v>
      </c>
      <c r="BU5" s="43" t="n">
        <v>46326</v>
      </c>
      <c r="BV5" s="43" t="n">
        <v>46327</v>
      </c>
      <c r="BW5" s="43" t="n">
        <v>46328</v>
      </c>
      <c r="BX5" s="43" t="n">
        <v>46329</v>
      </c>
      <c r="BY5" s="43" t="n">
        <v>46330</v>
      </c>
      <c r="BZ5" s="43" t="n">
        <v>46331</v>
      </c>
      <c r="CA5" s="43" t="n">
        <v>46332</v>
      </c>
      <c r="CB5" s="43" t="n">
        <v>46333</v>
      </c>
      <c r="CC5" s="43" t="n">
        <v>46334</v>
      </c>
      <c r="CD5" s="43" t="n">
        <v>46335</v>
      </c>
      <c r="CE5" s="43" t="n">
        <v>46336</v>
      </c>
      <c r="CF5" s="43" t="n">
        <v>46337</v>
      </c>
      <c r="CG5" s="43" t="n">
        <v>46338</v>
      </c>
      <c r="CH5" s="43" t="n">
        <v>46339</v>
      </c>
      <c r="CI5" s="43" t="n">
        <v>46340</v>
      </c>
      <c r="CJ5" s="43" t="n">
        <v>46341</v>
      </c>
      <c r="CK5" s="43" t="n">
        <v>46342</v>
      </c>
      <c r="CL5" s="43" t="n">
        <v>46343</v>
      </c>
      <c r="CM5" s="43" t="n">
        <v>46344</v>
      </c>
      <c r="CN5" s="43" t="n">
        <v>46345</v>
      </c>
      <c r="CO5" s="43" t="n">
        <v>46346</v>
      </c>
      <c r="CP5" s="43" t="n">
        <v>46347</v>
      </c>
      <c r="CQ5" s="43" t="n">
        <v>46348</v>
      </c>
      <c r="CR5" s="43" t="n">
        <v>46349</v>
      </c>
      <c r="CS5" s="43" t="n">
        <v>46350</v>
      </c>
      <c r="CT5" s="43" t="n">
        <v>46351</v>
      </c>
      <c r="CU5" s="43" t="n">
        <v>46352</v>
      </c>
      <c r="CV5" s="43" t="n">
        <v>46353</v>
      </c>
      <c r="CW5" s="43" t="n">
        <v>46354</v>
      </c>
      <c r="CX5" s="43" t="n">
        <v>46355</v>
      </c>
      <c r="CY5" s="43" t="n">
        <v>46356</v>
      </c>
      <c r="CZ5" s="43" t="n">
        <v>46357</v>
      </c>
      <c r="DA5" s="43" t="n">
        <v>46358</v>
      </c>
      <c r="DB5" s="43" t="n">
        <v>46359</v>
      </c>
      <c r="DC5" s="43" t="n">
        <v>46360</v>
      </c>
      <c r="DD5" s="43" t="n">
        <v>46361</v>
      </c>
      <c r="DE5" s="43" t="n">
        <v>46362</v>
      </c>
      <c r="DF5" s="43" t="n">
        <v>46363</v>
      </c>
      <c r="DG5" s="43" t="n">
        <v>46364</v>
      </c>
      <c r="DH5" s="43" t="n">
        <v>46365</v>
      </c>
      <c r="DI5" s="43" t="n">
        <v>46366</v>
      </c>
      <c r="DJ5" s="43" t="n">
        <v>46367</v>
      </c>
      <c r="DK5" s="43" t="n">
        <v>46368</v>
      </c>
      <c r="DL5" s="43" t="n">
        <v>46369</v>
      </c>
      <c r="DM5" s="43" t="n">
        <v>46370</v>
      </c>
      <c r="DN5" s="43" t="n">
        <v>46371</v>
      </c>
      <c r="DO5" s="43" t="n">
        <v>46372</v>
      </c>
      <c r="DP5" s="43" t="n">
        <v>46373</v>
      </c>
      <c r="DQ5" s="43" t="n">
        <v>46374</v>
      </c>
      <c r="DR5" s="43" t="n">
        <v>46375</v>
      </c>
      <c r="DS5" s="43" t="n">
        <v>46376</v>
      </c>
      <c r="DT5" s="43" t="n">
        <v>46377</v>
      </c>
      <c r="DU5" s="43" t="n">
        <v>46378</v>
      </c>
      <c r="DV5" s="43" t="n">
        <v>46379</v>
      </c>
      <c r="DW5" s="43" t="n">
        <v>46380</v>
      </c>
      <c r="DX5" s="43" t="n">
        <v>46381</v>
      </c>
      <c r="DY5" s="43" t="n">
        <v>46382</v>
      </c>
      <c r="DZ5" s="43" t="n">
        <v>46383</v>
      </c>
      <c r="EA5" s="43" t="n">
        <v>46384</v>
      </c>
      <c r="EB5" s="43" t="n">
        <v>46385</v>
      </c>
      <c r="EC5" s="43" t="n">
        <v>46386</v>
      </c>
      <c r="ED5" s="43" t="n">
        <v>46387</v>
      </c>
      <c r="EE5" s="43" t="n">
        <v>46388</v>
      </c>
      <c r="EF5" s="43" t="n">
        <v>46389</v>
      </c>
      <c r="EG5" s="43" t="n">
        <v>46390</v>
      </c>
      <c r="EH5" s="43" t="n">
        <v>46391</v>
      </c>
      <c r="EI5" s="43" t="n">
        <v>46392</v>
      </c>
      <c r="EJ5" s="43" t="n">
        <v>46393</v>
      </c>
      <c r="EK5" s="43" t="n">
        <v>46394</v>
      </c>
      <c r="EL5" s="43" t="n">
        <v>46395</v>
      </c>
      <c r="EM5" s="43" t="n">
        <v>46396</v>
      </c>
      <c r="EN5" s="43" t="n">
        <v>46397</v>
      </c>
      <c r="EO5" s="43" t="n">
        <v>46398</v>
      </c>
      <c r="EP5" s="43" t="n">
        <v>46399</v>
      </c>
      <c r="EQ5" s="43" t="n">
        <v>46400</v>
      </c>
      <c r="ER5" s="43" t="n">
        <v>46401</v>
      </c>
      <c r="ES5" s="43" t="n">
        <v>46402</v>
      </c>
      <c r="ET5" s="43" t="n">
        <v>46403</v>
      </c>
      <c r="EU5" s="43" t="n">
        <v>46404</v>
      </c>
      <c r="EV5" s="43" t="n">
        <v>46405</v>
      </c>
      <c r="EW5" s="43" t="n">
        <v>46406</v>
      </c>
      <c r="EX5" s="43" t="n">
        <v>46407</v>
      </c>
      <c r="EY5" s="43" t="n">
        <v>46408</v>
      </c>
      <c r="EZ5" s="43" t="n">
        <v>46409</v>
      </c>
      <c r="FA5" s="43" t="n">
        <v>46410</v>
      </c>
      <c r="FB5" s="43" t="n">
        <v>46411</v>
      </c>
      <c r="FC5" s="43" t="n">
        <v>46412</v>
      </c>
      <c r="FD5" s="43" t="n">
        <v>46413</v>
      </c>
      <c r="FE5" s="43" t="n">
        <v>46414</v>
      </c>
      <c r="FF5" s="43" t="n">
        <v>46415</v>
      </c>
      <c r="FG5" s="43" t="n">
        <v>46416</v>
      </c>
      <c r="FH5" s="43" t="n">
        <v>46417</v>
      </c>
      <c r="FI5" s="43" t="n">
        <v>46418</v>
      </c>
      <c r="FJ5" s="43" t="n">
        <v>46419</v>
      </c>
      <c r="FK5" s="43" t="n">
        <v>46420</v>
      </c>
      <c r="FL5" s="43" t="n">
        <v>46421</v>
      </c>
      <c r="FM5" s="43" t="n">
        <v>46422</v>
      </c>
      <c r="FN5" s="43" t="n">
        <v>46423</v>
      </c>
      <c r="FO5" s="43" t="n">
        <v>46424</v>
      </c>
      <c r="FP5" s="43" t="n">
        <v>46425</v>
      </c>
      <c r="FQ5" s="43" t="n">
        <v>46426</v>
      </c>
      <c r="FR5" s="43" t="n">
        <v>46427</v>
      </c>
      <c r="FS5" s="43" t="n">
        <v>46428</v>
      </c>
      <c r="FT5" s="43" t="n">
        <v>46429</v>
      </c>
      <c r="FU5" s="43" t="n">
        <v>46430</v>
      </c>
      <c r="FV5" s="43" t="n">
        <v>46431</v>
      </c>
      <c r="FW5" s="43" t="n">
        <v>46432</v>
      </c>
      <c r="FX5" s="43" t="n">
        <v>46433</v>
      </c>
      <c r="FY5" s="43" t="n">
        <v>46434</v>
      </c>
      <c r="FZ5" s="43" t="n">
        <v>46435</v>
      </c>
      <c r="GA5" s="43" t="n">
        <v>46436</v>
      </c>
      <c r="GB5" s="43" t="n">
        <v>46437</v>
      </c>
      <c r="GC5" s="43" t="n">
        <v>46438</v>
      </c>
      <c r="GD5" s="43" t="n">
        <v>46439</v>
      </c>
      <c r="GE5" s="43" t="n">
        <v>46440</v>
      </c>
      <c r="GF5" s="43" t="n">
        <v>46441</v>
      </c>
      <c r="GG5" s="43" t="n">
        <v>46442</v>
      </c>
      <c r="GH5" s="43" t="n">
        <v>46443</v>
      </c>
      <c r="GI5" s="43" t="n">
        <v>46444</v>
      </c>
      <c r="GJ5" s="43" t="n">
        <v>46445</v>
      </c>
      <c r="GK5" s="43" t="n">
        <v>46446</v>
      </c>
      <c r="GL5" s="43" t="n">
        <v>46447</v>
      </c>
      <c r="GM5" s="43" t="n">
        <v>46448</v>
      </c>
      <c r="GN5" s="43" t="n">
        <v>46449</v>
      </c>
      <c r="GO5" s="43" t="n">
        <v>46450</v>
      </c>
      <c r="GP5" s="43" t="n">
        <v>46451</v>
      </c>
      <c r="GQ5" s="43" t="n">
        <v>46452</v>
      </c>
      <c r="GR5" s="43" t="n">
        <v>46453</v>
      </c>
      <c r="GS5" s="43" t="n">
        <v>46454</v>
      </c>
      <c r="GT5" s="43" t="n">
        <v>46455</v>
      </c>
      <c r="GU5" s="43" t="n">
        <v>46456</v>
      </c>
      <c r="GV5" s="43" t="n">
        <v>46457</v>
      </c>
      <c r="GW5" s="43" t="n">
        <v>46458</v>
      </c>
      <c r="GX5" s="43" t="n">
        <v>46459</v>
      </c>
      <c r="GY5" s="43" t="n">
        <v>46460</v>
      </c>
      <c r="GZ5" s="43" t="n">
        <v>46461</v>
      </c>
      <c r="HA5" s="43" t="n">
        <v>46462</v>
      </c>
      <c r="HB5" s="43" t="n">
        <v>46463</v>
      </c>
      <c r="HC5" s="43" t="n">
        <v>46464</v>
      </c>
      <c r="HD5" s="43" t="n">
        <v>46465</v>
      </c>
      <c r="HE5" s="43" t="n">
        <v>46466</v>
      </c>
      <c r="HF5" s="43" t="n">
        <v>46467</v>
      </c>
      <c r="HG5" s="43" t="n">
        <v>46468</v>
      </c>
      <c r="HH5" s="43" t="n">
        <v>46469</v>
      </c>
      <c r="HI5" s="43" t="n">
        <v>46470</v>
      </c>
      <c r="HJ5" s="43" t="n">
        <v>46471</v>
      </c>
      <c r="HK5" s="43" t="n">
        <v>46472</v>
      </c>
      <c r="HL5" s="43" t="n">
        <v>46473</v>
      </c>
      <c r="HM5" s="43" t="n">
        <v>46474</v>
      </c>
      <c r="HN5" s="43" t="n">
        <v>46475</v>
      </c>
      <c r="HO5" s="43" t="n">
        <v>46476</v>
      </c>
      <c r="HP5" s="43" t="n">
        <v>46477</v>
      </c>
      <c r="HQ5" s="43" t="n">
        <v>46478</v>
      </c>
      <c r="HR5" s="43" t="n">
        <v>46479</v>
      </c>
      <c r="HS5" s="43" t="n">
        <v>46480</v>
      </c>
      <c r="HT5" s="43" t="n">
        <v>46481</v>
      </c>
      <c r="HU5" s="43" t="n">
        <v>46482</v>
      </c>
      <c r="HV5" s="43" t="n">
        <v>46483</v>
      </c>
      <c r="HW5" s="43" t="n">
        <v>46484</v>
      </c>
      <c r="HX5" s="43" t="n">
        <v>46485</v>
      </c>
      <c r="HY5" s="43" t="n">
        <v>46486</v>
      </c>
      <c r="HZ5" s="43" t="n">
        <v>46487</v>
      </c>
      <c r="IA5" s="43" t="n">
        <v>46488</v>
      </c>
      <c r="IB5" s="43" t="n">
        <v>46489</v>
      </c>
      <c r="IC5" s="43" t="n">
        <v>46490</v>
      </c>
      <c r="ID5" s="43" t="n">
        <v>46491</v>
      </c>
      <c r="IE5" s="43" t="n">
        <v>46492</v>
      </c>
      <c r="IF5" s="43" t="n">
        <v>46493</v>
      </c>
      <c r="IG5" s="43" t="n">
        <v>46494</v>
      </c>
      <c r="IH5" s="43" t="n">
        <v>46495</v>
      </c>
      <c r="II5" s="43" t="n">
        <v>46496</v>
      </c>
      <c r="IJ5" s="43" t="n">
        <v>46497</v>
      </c>
      <c r="IK5" s="43" t="n">
        <v>46498</v>
      </c>
      <c r="IL5" s="43" t="n">
        <v>46499</v>
      </c>
      <c r="IM5" s="43" t="n">
        <v>46500</v>
      </c>
      <c r="IN5" s="43" t="n">
        <v>46501</v>
      </c>
      <c r="IO5" s="43" t="n">
        <v>46502</v>
      </c>
      <c r="IP5" s="43" t="n">
        <v>46503</v>
      </c>
      <c r="IQ5" s="43" t="n">
        <v>46504</v>
      </c>
      <c r="IR5" s="43" t="n">
        <v>46505</v>
      </c>
      <c r="IS5" s="43" t="n">
        <v>46506</v>
      </c>
      <c r="IT5" s="43" t="n">
        <v>46507</v>
      </c>
      <c r="IU5" s="43" t="n">
        <v>46508</v>
      </c>
      <c r="IV5" s="43" t="n">
        <v>46509</v>
      </c>
      <c r="IW5" s="43" t="n">
        <v>46510</v>
      </c>
      <c r="IX5" s="43" t="n">
        <v>46511</v>
      </c>
      <c r="IY5" s="43" t="n">
        <v>46512</v>
      </c>
      <c r="IZ5" s="43" t="n">
        <v>46513</v>
      </c>
      <c r="JA5" s="43" t="n">
        <v>46514</v>
      </c>
      <c r="JB5" s="43" t="n">
        <v>46515</v>
      </c>
      <c r="JC5" s="43" t="n">
        <v>46516</v>
      </c>
      <c r="JD5" s="43" t="n">
        <v>46517</v>
      </c>
      <c r="JE5" s="43" t="n">
        <v>46518</v>
      </c>
      <c r="JF5" s="43" t="n">
        <v>46519</v>
      </c>
      <c r="JG5" s="43" t="n">
        <v>46520</v>
      </c>
      <c r="JH5" s="43" t="n">
        <v>46521</v>
      </c>
      <c r="JI5" s="43" t="n">
        <v>46522</v>
      </c>
      <c r="JJ5" s="43" t="n">
        <v>46523</v>
      </c>
      <c r="JK5" s="43" t="n">
        <v>46524</v>
      </c>
      <c r="JL5" s="43" t="n">
        <v>46525</v>
      </c>
      <c r="JM5" s="43" t="n">
        <v>46526</v>
      </c>
      <c r="JN5" s="43" t="n">
        <v>46527</v>
      </c>
      <c r="JO5" s="43" t="n">
        <v>46528</v>
      </c>
      <c r="JP5" s="43" t="n">
        <v>46529</v>
      </c>
      <c r="JQ5" s="43" t="n">
        <v>46530</v>
      </c>
      <c r="JR5" s="43" t="n">
        <v>46531</v>
      </c>
      <c r="JS5" s="43" t="n">
        <v>46532</v>
      </c>
      <c r="JT5" s="43" t="n">
        <v>46533</v>
      </c>
      <c r="JU5" s="43" t="n">
        <v>46534</v>
      </c>
      <c r="JV5" s="43" t="n">
        <v>46535</v>
      </c>
      <c r="JW5" s="43" t="n">
        <v>46536</v>
      </c>
      <c r="JX5" s="43" t="n">
        <v>46537</v>
      </c>
      <c r="JY5" s="43" t="n">
        <v>46538</v>
      </c>
      <c r="JZ5" s="43" t="n">
        <v>46539</v>
      </c>
      <c r="KA5" s="43" t="n">
        <v>46540</v>
      </c>
      <c r="KB5" s="43" t="n">
        <v>46541</v>
      </c>
      <c r="KC5" s="43" t="n">
        <v>46542</v>
      </c>
      <c r="KD5" s="43" t="n">
        <v>46543</v>
      </c>
      <c r="KE5" s="43" t="n">
        <v>46544</v>
      </c>
      <c r="KF5" s="43" t="n">
        <v>46545</v>
      </c>
      <c r="KG5" s="43" t="n">
        <v>46546</v>
      </c>
      <c r="KH5" s="43" t="n">
        <v>46547</v>
      </c>
      <c r="KI5" s="43" t="n">
        <v>46548</v>
      </c>
      <c r="KJ5" s="43" t="n">
        <v>46549</v>
      </c>
      <c r="KK5" s="43" t="n">
        <v>46550</v>
      </c>
      <c r="KL5" s="43" t="n">
        <v>46551</v>
      </c>
      <c r="KM5" s="43" t="n">
        <v>46552</v>
      </c>
      <c r="KN5" s="43" t="n">
        <v>46553</v>
      </c>
      <c r="KO5" s="43" t="n">
        <v>46554</v>
      </c>
      <c r="KP5" s="43" t="n">
        <v>46555</v>
      </c>
      <c r="KQ5" s="43" t="n">
        <v>46556</v>
      </c>
      <c r="KR5" s="43" t="n">
        <v>46557</v>
      </c>
      <c r="KS5" s="43" t="n">
        <v>46558</v>
      </c>
      <c r="KT5" s="43" t="n">
        <v>46559</v>
      </c>
      <c r="KU5" s="43" t="n">
        <v>46560</v>
      </c>
      <c r="KV5" s="43" t="n">
        <v>46561</v>
      </c>
      <c r="KW5" s="43" t="n">
        <v>46562</v>
      </c>
      <c r="KX5" s="43" t="n">
        <v>46563</v>
      </c>
      <c r="KY5" s="43" t="n">
        <v>46564</v>
      </c>
      <c r="KZ5" s="43" t="n">
        <v>46565</v>
      </c>
      <c r="LA5" s="43" t="n">
        <v>46566</v>
      </c>
      <c r="LB5" s="43" t="n">
        <v>46567</v>
      </c>
      <c r="LC5" s="43" t="n">
        <v>46568</v>
      </c>
    </row>
    <row r="6" ht="20" customHeight="1">
      <c r="A6" s="44" t="inlineStr">
        <is>
          <t>СКВАЖИНА ЮГ-1</t>
        </is>
      </c>
      <c r="B6" s="44" t="n"/>
      <c r="C6" s="44" t="n"/>
      <c r="D6" s="44" t="n"/>
      <c r="E6" s="44" t="n"/>
      <c r="F6" s="44" t="n"/>
      <c r="G6" s="44" t="n"/>
      <c r="H6" s="44" t="n"/>
      <c r="I6" s="44" t="n"/>
      <c r="J6" s="44" t="n"/>
      <c r="K6" s="44" t="n"/>
      <c r="L6" s="44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  <c r="AL6" s="45" t="n"/>
      <c r="AM6" s="45" t="n"/>
      <c r="AN6" s="45" t="n"/>
      <c r="AO6" s="45" t="n"/>
      <c r="AP6" s="45" t="n"/>
      <c r="AQ6" s="45" t="n"/>
      <c r="AR6" s="45" t="n"/>
      <c r="AS6" s="45" t="n"/>
      <c r="AT6" s="45" t="n"/>
      <c r="AU6" s="45" t="n"/>
      <c r="AV6" s="45" t="n"/>
      <c r="AW6" s="45" t="n"/>
      <c r="AX6" s="45" t="n"/>
      <c r="AY6" s="45" t="n"/>
      <c r="AZ6" s="45" t="n"/>
      <c r="BA6" s="45" t="n"/>
      <c r="BB6" s="45" t="n"/>
      <c r="BC6" s="45" t="n"/>
      <c r="BD6" s="45" t="n"/>
      <c r="BE6" s="45" t="n"/>
      <c r="BF6" s="45" t="n"/>
      <c r="BG6" s="45" t="n"/>
      <c r="BH6" s="45" t="n"/>
      <c r="BI6" s="45" t="n"/>
      <c r="BJ6" s="45" t="n"/>
      <c r="BK6" s="45" t="n"/>
      <c r="BL6" s="45" t="n"/>
      <c r="BM6" s="45" t="n"/>
      <c r="BN6" s="45" t="n"/>
      <c r="BO6" s="45" t="n"/>
      <c r="BP6" s="45" t="n"/>
      <c r="BQ6" s="45" t="n"/>
      <c r="BR6" s="45" t="n"/>
      <c r="BS6" s="45" t="n"/>
      <c r="BT6" s="45" t="n"/>
      <c r="BU6" s="45" t="n"/>
      <c r="BV6" s="45" t="n"/>
      <c r="BW6" s="45" t="n"/>
      <c r="BX6" s="45" t="n"/>
      <c r="BY6" s="45" t="n"/>
      <c r="BZ6" s="45" t="n"/>
      <c r="CA6" s="45" t="n"/>
      <c r="CB6" s="45" t="n"/>
      <c r="CC6" s="45" t="n"/>
      <c r="CD6" s="45" t="n"/>
      <c r="CE6" s="45" t="n"/>
      <c r="CF6" s="45" t="n"/>
      <c r="CG6" s="45" t="n"/>
      <c r="CH6" s="45" t="n"/>
      <c r="CI6" s="45" t="n"/>
      <c r="CJ6" s="45" t="n"/>
      <c r="CK6" s="45" t="n"/>
      <c r="CL6" s="45" t="n"/>
      <c r="CM6" s="45" t="n"/>
      <c r="CN6" s="45" t="n"/>
      <c r="CO6" s="45" t="n"/>
      <c r="CP6" s="45" t="n"/>
      <c r="CQ6" s="45" t="n"/>
      <c r="CR6" s="45" t="n"/>
      <c r="CS6" s="45" t="n"/>
      <c r="CT6" s="45" t="n"/>
      <c r="CU6" s="45" t="n"/>
      <c r="CV6" s="45" t="n"/>
      <c r="CW6" s="45" t="n"/>
      <c r="CX6" s="45" t="n"/>
      <c r="CY6" s="45" t="n"/>
      <c r="CZ6" s="45" t="n"/>
      <c r="DA6" s="45" t="n"/>
      <c r="DB6" s="45" t="n"/>
      <c r="DC6" s="45" t="n"/>
      <c r="DD6" s="45" t="n"/>
      <c r="DE6" s="45" t="n"/>
      <c r="DF6" s="45" t="n"/>
      <c r="DG6" s="45" t="n"/>
      <c r="DH6" s="45" t="n"/>
      <c r="DI6" s="45" t="n"/>
      <c r="DJ6" s="45" t="n"/>
      <c r="DK6" s="45" t="n"/>
      <c r="DL6" s="45" t="n"/>
      <c r="DM6" s="45" t="n"/>
      <c r="DN6" s="45" t="n"/>
      <c r="DO6" s="45" t="n"/>
      <c r="DP6" s="45" t="n"/>
      <c r="DQ6" s="45" t="n"/>
      <c r="DR6" s="45" t="n"/>
      <c r="DS6" s="45" t="n"/>
      <c r="DT6" s="45" t="n"/>
      <c r="DU6" s="45" t="n"/>
      <c r="DV6" s="45" t="n"/>
      <c r="DW6" s="45" t="n"/>
      <c r="DX6" s="45" t="n"/>
      <c r="DY6" s="45" t="n"/>
      <c r="DZ6" s="45" t="n"/>
      <c r="EA6" s="45" t="n"/>
      <c r="EB6" s="45" t="n"/>
      <c r="EC6" s="45" t="n"/>
      <c r="ED6" s="45" t="n"/>
      <c r="EE6" s="45" t="n"/>
      <c r="EF6" s="45" t="n"/>
      <c r="EG6" s="45" t="n"/>
      <c r="EH6" s="45" t="n"/>
      <c r="EI6" s="45" t="n"/>
      <c r="EJ6" s="45" t="n"/>
      <c r="EK6" s="45" t="n"/>
      <c r="EL6" s="45" t="n"/>
      <c r="EM6" s="45" t="n"/>
      <c r="EN6" s="45" t="n"/>
      <c r="EO6" s="45" t="n"/>
      <c r="EP6" s="45" t="n"/>
      <c r="EQ6" s="45" t="n"/>
      <c r="ER6" s="45" t="n"/>
      <c r="ES6" s="45" t="n"/>
      <c r="ET6" s="45" t="n"/>
      <c r="EU6" s="45" t="n"/>
      <c r="EV6" s="45" t="n"/>
      <c r="EW6" s="45" t="n"/>
      <c r="EX6" s="45" t="n"/>
      <c r="EY6" s="45" t="n"/>
      <c r="EZ6" s="45" t="n"/>
      <c r="FA6" s="45" t="n"/>
      <c r="FB6" s="45" t="n"/>
      <c r="FC6" s="45" t="n"/>
      <c r="FD6" s="45" t="n"/>
      <c r="FE6" s="45" t="n"/>
      <c r="FF6" s="45" t="n"/>
      <c r="FG6" s="45" t="n"/>
      <c r="FH6" s="45" t="n"/>
      <c r="FI6" s="45" t="n"/>
      <c r="FJ6" s="45" t="n"/>
      <c r="FK6" s="45" t="n"/>
      <c r="FL6" s="45" t="n"/>
      <c r="FM6" s="45" t="n"/>
      <c r="FN6" s="45" t="n"/>
      <c r="FO6" s="45" t="n"/>
      <c r="FP6" s="45" t="n"/>
      <c r="FQ6" s="45" t="n"/>
      <c r="FR6" s="45" t="n"/>
      <c r="FS6" s="45" t="n"/>
      <c r="FT6" s="45" t="n"/>
      <c r="FU6" s="45" t="n"/>
      <c r="FV6" s="45" t="n"/>
      <c r="FW6" s="45" t="n"/>
      <c r="FX6" s="45" t="n"/>
      <c r="FY6" s="45" t="n"/>
      <c r="FZ6" s="45" t="n"/>
      <c r="GA6" s="45" t="n"/>
      <c r="GB6" s="45" t="n"/>
      <c r="GC6" s="45" t="n"/>
      <c r="GD6" s="45" t="n"/>
      <c r="GE6" s="45" t="n"/>
      <c r="GF6" s="45" t="n"/>
      <c r="GG6" s="45" t="n"/>
      <c r="GH6" s="45" t="n"/>
      <c r="GI6" s="45" t="n"/>
      <c r="GJ6" s="45" t="n"/>
      <c r="GK6" s="45" t="n"/>
      <c r="GL6" s="45" t="n"/>
      <c r="GM6" s="45" t="n"/>
      <c r="GN6" s="45" t="n"/>
      <c r="GO6" s="45" t="n"/>
      <c r="GP6" s="45" t="n"/>
      <c r="GQ6" s="45" t="n"/>
      <c r="GR6" s="45" t="n"/>
      <c r="GS6" s="45" t="n"/>
      <c r="GT6" s="45" t="n"/>
      <c r="GU6" s="45" t="n"/>
      <c r="GV6" s="45" t="n"/>
      <c r="GW6" s="45" t="n"/>
      <c r="GX6" s="45" t="n"/>
      <c r="GY6" s="45" t="n"/>
      <c r="GZ6" s="45" t="n"/>
      <c r="HA6" s="45" t="n"/>
      <c r="HB6" s="45" t="n"/>
      <c r="HC6" s="45" t="n"/>
      <c r="HD6" s="45" t="n"/>
      <c r="HE6" s="45" t="n"/>
      <c r="HF6" s="45" t="n"/>
      <c r="HG6" s="45" t="n"/>
      <c r="HH6" s="45" t="n"/>
      <c r="HI6" s="45" t="n"/>
      <c r="HJ6" s="45" t="n"/>
      <c r="HK6" s="45" t="n"/>
      <c r="HL6" s="45" t="n"/>
      <c r="HM6" s="45" t="n"/>
      <c r="HN6" s="45" t="n"/>
      <c r="HO6" s="45" t="n"/>
      <c r="HP6" s="45" t="n"/>
      <c r="HQ6" s="45" t="n"/>
      <c r="HR6" s="45" t="n"/>
      <c r="HS6" s="45" t="n"/>
      <c r="HT6" s="45" t="n"/>
      <c r="HU6" s="45" t="n"/>
      <c r="HV6" s="45" t="n"/>
      <c r="HW6" s="45" t="n"/>
      <c r="HX6" s="45" t="n"/>
      <c r="HY6" s="45" t="n"/>
      <c r="HZ6" s="45" t="n"/>
      <c r="IA6" s="45" t="n"/>
      <c r="IB6" s="45" t="n"/>
      <c r="IC6" s="45" t="n"/>
      <c r="ID6" s="45" t="n"/>
      <c r="IE6" s="45" t="n"/>
      <c r="IF6" s="45" t="n"/>
      <c r="IG6" s="45" t="n"/>
      <c r="IH6" s="45" t="n"/>
      <c r="II6" s="45" t="n"/>
      <c r="IJ6" s="45" t="n"/>
      <c r="IK6" s="45" t="n"/>
      <c r="IL6" s="45" t="n"/>
      <c r="IM6" s="45" t="n"/>
      <c r="IN6" s="45" t="n"/>
      <c r="IO6" s="45" t="n"/>
      <c r="IP6" s="45" t="n"/>
      <c r="IQ6" s="45" t="n"/>
      <c r="IR6" s="45" t="n"/>
      <c r="IS6" s="45" t="n"/>
      <c r="IT6" s="45" t="n"/>
      <c r="IU6" s="45" t="n"/>
      <c r="IV6" s="45" t="n"/>
      <c r="IW6" s="45" t="n"/>
      <c r="IX6" s="45" t="n"/>
      <c r="IY6" s="45" t="n"/>
      <c r="IZ6" s="45" t="n"/>
      <c r="JA6" s="45" t="n"/>
      <c r="JB6" s="45" t="n"/>
      <c r="JC6" s="45" t="n"/>
      <c r="JD6" s="45" t="n"/>
      <c r="JE6" s="45" t="n"/>
      <c r="JF6" s="45" t="n"/>
      <c r="JG6" s="45" t="n"/>
      <c r="JH6" s="45" t="n"/>
      <c r="JI6" s="45" t="n"/>
      <c r="JJ6" s="45" t="n"/>
      <c r="JK6" s="45" t="n"/>
      <c r="JL6" s="45" t="n"/>
      <c r="JM6" s="45" t="n"/>
      <c r="JN6" s="45" t="n"/>
      <c r="JO6" s="45" t="n"/>
      <c r="JP6" s="45" t="n"/>
      <c r="JQ6" s="45" t="n"/>
      <c r="JR6" s="45" t="n"/>
      <c r="JS6" s="45" t="n"/>
      <c r="JT6" s="45" t="n"/>
      <c r="JU6" s="45" t="n"/>
      <c r="JV6" s="45" t="n"/>
      <c r="JW6" s="45" t="n"/>
      <c r="JX6" s="45" t="n"/>
      <c r="JY6" s="45" t="n"/>
      <c r="JZ6" s="45" t="n"/>
      <c r="KA6" s="45" t="n"/>
      <c r="KB6" s="45" t="n"/>
      <c r="KC6" s="45" t="n"/>
      <c r="KD6" s="45" t="n"/>
      <c r="KE6" s="45" t="n"/>
      <c r="KF6" s="45" t="n"/>
      <c r="KG6" s="45" t="n"/>
      <c r="KH6" s="45" t="n"/>
      <c r="KI6" s="45" t="n"/>
      <c r="KJ6" s="45" t="n"/>
      <c r="KK6" s="45" t="n"/>
      <c r="KL6" s="45" t="n"/>
      <c r="KM6" s="45" t="n"/>
      <c r="KN6" s="45" t="n"/>
      <c r="KO6" s="45" t="n"/>
      <c r="KP6" s="45" t="n"/>
      <c r="KQ6" s="45" t="n"/>
      <c r="KR6" s="45" t="n"/>
      <c r="KS6" s="45" t="n"/>
      <c r="KT6" s="45" t="n"/>
      <c r="KU6" s="45" t="n"/>
      <c r="KV6" s="45" t="n"/>
      <c r="KW6" s="45" t="n"/>
      <c r="KX6" s="45" t="n"/>
      <c r="KY6" s="45" t="n"/>
      <c r="KZ6" s="45" t="n"/>
      <c r="LA6" s="45" t="n"/>
      <c r="LB6" s="45" t="n"/>
      <c r="LC6" s="45" t="n"/>
    </row>
    <row r="7" ht="17" customHeight="1">
      <c r="A7" s="11" t="n">
        <v>1</v>
      </c>
      <c r="B7" s="11" t="inlineStr">
        <is>
          <t>ЮГ-1</t>
        </is>
      </c>
      <c r="C7" s="16">
        <f>'ЮГ-1'!B5</f>
        <v/>
      </c>
      <c r="D7" s="11">
        <f>'ЮГ-1'!C5</f>
        <v/>
      </c>
      <c r="E7" s="11">
        <f>'ЮГ-1'!D5</f>
        <v/>
      </c>
      <c r="F7" s="34">
        <f>'ЮГ-1'!J5</f>
        <v/>
      </c>
      <c r="G7" s="34">
        <f>'ЮГ-1'!G8</f>
        <v/>
      </c>
      <c r="H7" s="34">
        <f>'ЮГ-1'!K5</f>
        <v/>
      </c>
      <c r="I7" s="46">
        <f>'ЮГ-1'!H5</f>
        <v/>
      </c>
      <c r="J7" s="11">
        <f>'ЮГ-1'!L5</f>
        <v/>
      </c>
      <c r="K7" s="11">
        <f>'ЮГ-1'!M5</f>
        <v/>
      </c>
      <c r="L7" s="47">
        <f>'ЮГ-1'!N5</f>
        <v/>
      </c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48" t="n"/>
      <c r="AJ7" s="48" t="n"/>
      <c r="AK7" s="48" t="n"/>
      <c r="AL7" s="48" t="n"/>
      <c r="AM7" s="48" t="n"/>
      <c r="AN7" s="48" t="n"/>
      <c r="AO7" s="48" t="n"/>
      <c r="AP7" s="48" t="n"/>
      <c r="AQ7" s="48" t="n"/>
      <c r="AR7" s="48" t="n"/>
      <c r="AS7" s="48" t="n"/>
      <c r="AT7" s="48" t="n"/>
      <c r="AU7" s="48" t="n"/>
      <c r="AV7" s="48" t="n"/>
      <c r="AW7" s="48" t="n"/>
      <c r="AX7" s="48" t="n"/>
      <c r="AY7" s="48" t="n"/>
      <c r="AZ7" s="48" t="n"/>
      <c r="BA7" s="48" t="n"/>
      <c r="BB7" s="48" t="n"/>
      <c r="BC7" s="48" t="n"/>
      <c r="BD7" s="48" t="n"/>
      <c r="BE7" s="48" t="n"/>
      <c r="BF7" s="48" t="n"/>
      <c r="BG7" s="48" t="n"/>
      <c r="BH7" s="48" t="n"/>
      <c r="BI7" s="48" t="n"/>
      <c r="BJ7" s="48" t="n"/>
      <c r="BK7" s="48" t="n"/>
      <c r="BL7" s="48" t="n"/>
      <c r="BM7" s="48" t="n"/>
      <c r="BN7" s="48" t="n"/>
      <c r="BO7" s="48" t="n"/>
      <c r="BP7" s="48" t="n"/>
      <c r="BQ7" s="48" t="n"/>
      <c r="BR7" s="48" t="n"/>
      <c r="BS7" s="48" t="n"/>
      <c r="BT7" s="48" t="n"/>
      <c r="BU7" s="48" t="n"/>
      <c r="BV7" s="48" t="n"/>
      <c r="BW7" s="48" t="n"/>
      <c r="BX7" s="48" t="n"/>
      <c r="BY7" s="48" t="n"/>
      <c r="BZ7" s="48" t="n"/>
      <c r="CA7" s="48" t="n"/>
      <c r="CB7" s="48" t="n"/>
      <c r="CC7" s="48" t="n"/>
      <c r="CD7" s="48" t="n"/>
      <c r="CE7" s="48" t="n"/>
      <c r="CF7" s="48" t="n"/>
      <c r="CG7" s="48" t="n"/>
      <c r="CH7" s="48" t="n"/>
      <c r="CI7" s="48" t="n"/>
      <c r="CJ7" s="48" t="n"/>
      <c r="CK7" s="48" t="n"/>
      <c r="CL7" s="48" t="n"/>
      <c r="CM7" s="48" t="n"/>
      <c r="CN7" s="48" t="n"/>
      <c r="CO7" s="48" t="n"/>
      <c r="CP7" s="48" t="n"/>
      <c r="CQ7" s="48" t="n"/>
      <c r="CR7" s="48" t="n"/>
      <c r="CS7" s="48" t="n"/>
      <c r="CT7" s="48" t="n"/>
      <c r="CU7" s="48" t="n"/>
      <c r="CV7" s="48" t="n"/>
      <c r="CW7" s="48" t="n"/>
      <c r="CX7" s="48" t="n"/>
      <c r="CY7" s="48" t="n"/>
      <c r="CZ7" s="48" t="n"/>
      <c r="DA7" s="48" t="n"/>
      <c r="DB7" s="48" t="n"/>
      <c r="DC7" s="48" t="n"/>
      <c r="DD7" s="48" t="n"/>
      <c r="DE7" s="48" t="n"/>
      <c r="DF7" s="48" t="n"/>
      <c r="DG7" s="48" t="n"/>
      <c r="DH7" s="48" t="n"/>
      <c r="DI7" s="48" t="n"/>
      <c r="DJ7" s="48" t="n"/>
      <c r="DK7" s="48" t="n"/>
      <c r="DL7" s="48" t="n"/>
      <c r="DM7" s="48" t="n"/>
      <c r="DN7" s="48" t="n"/>
      <c r="DO7" s="48" t="n"/>
      <c r="DP7" s="48" t="n"/>
      <c r="DQ7" s="48" t="n"/>
      <c r="DR7" s="48" t="n"/>
      <c r="DS7" s="48" t="n"/>
      <c r="DT7" s="48" t="n"/>
      <c r="DU7" s="48" t="n"/>
      <c r="DV7" s="48" t="n"/>
      <c r="DW7" s="48" t="n"/>
      <c r="DX7" s="48" t="n"/>
      <c r="DY7" s="48" t="n"/>
      <c r="DZ7" s="48" t="n"/>
      <c r="EA7" s="48" t="n"/>
      <c r="EB7" s="48" t="n"/>
      <c r="EC7" s="48" t="n"/>
      <c r="ED7" s="48" t="n"/>
      <c r="EE7" s="48" t="n"/>
      <c r="EF7" s="48" t="n"/>
      <c r="EG7" s="48" t="n"/>
      <c r="EH7" s="48" t="n"/>
      <c r="EI7" s="48" t="n"/>
      <c r="EJ7" s="48" t="n"/>
      <c r="EK7" s="48" t="n"/>
      <c r="EL7" s="48" t="n"/>
      <c r="EM7" s="48" t="n"/>
      <c r="EN7" s="48" t="n"/>
      <c r="EO7" s="48" t="n"/>
      <c r="EP7" s="48" t="n"/>
      <c r="EQ7" s="48" t="n"/>
      <c r="ER7" s="48" t="n"/>
      <c r="ES7" s="48" t="n"/>
      <c r="ET7" s="48" t="n"/>
      <c r="EU7" s="48" t="n"/>
      <c r="EV7" s="48" t="n"/>
      <c r="EW7" s="48" t="n"/>
      <c r="EX7" s="48" t="n"/>
      <c r="EY7" s="48" t="n"/>
      <c r="EZ7" s="48" t="n"/>
      <c r="FA7" s="48" t="n"/>
      <c r="FB7" s="48" t="n"/>
      <c r="FC7" s="48" t="n"/>
      <c r="FD7" s="48" t="n"/>
      <c r="FE7" s="48" t="n"/>
      <c r="FF7" s="48" t="n"/>
      <c r="FG7" s="48" t="n"/>
      <c r="FH7" s="48" t="n"/>
      <c r="FI7" s="48" t="n"/>
      <c r="FJ7" s="48" t="n"/>
      <c r="FK7" s="48" t="n"/>
      <c r="FL7" s="48" t="n"/>
      <c r="FM7" s="48" t="n"/>
      <c r="FN7" s="48" t="n"/>
      <c r="FO7" s="48" t="n"/>
      <c r="FP7" s="48" t="n"/>
      <c r="FQ7" s="48" t="n"/>
      <c r="FR7" s="48" t="n"/>
      <c r="FS7" s="48" t="n"/>
      <c r="FT7" s="48" t="n"/>
      <c r="FU7" s="48" t="n"/>
      <c r="FV7" s="48" t="n"/>
      <c r="FW7" s="48" t="n"/>
      <c r="FX7" s="48" t="n"/>
      <c r="FY7" s="48" t="n"/>
      <c r="FZ7" s="48" t="n"/>
      <c r="GA7" s="48" t="n"/>
      <c r="GB7" s="48" t="n"/>
      <c r="GC7" s="48" t="n"/>
      <c r="GD7" s="48" t="n"/>
      <c r="GE7" s="48" t="n"/>
      <c r="GF7" s="48" t="n"/>
      <c r="GG7" s="48" t="n"/>
      <c r="GH7" s="48" t="n"/>
      <c r="GI7" s="48" t="n"/>
      <c r="GJ7" s="48" t="n"/>
      <c r="GK7" s="48" t="n"/>
      <c r="GL7" s="48" t="n"/>
      <c r="GM7" s="48" t="n"/>
      <c r="GN7" s="48" t="n"/>
      <c r="GO7" s="48" t="n"/>
      <c r="GP7" s="48" t="n"/>
      <c r="GQ7" s="48" t="n"/>
      <c r="GR7" s="48" t="n"/>
      <c r="GS7" s="48" t="n"/>
      <c r="GT7" s="48" t="n"/>
      <c r="GU7" s="48" t="n"/>
      <c r="GV7" s="48" t="n"/>
      <c r="GW7" s="48" t="n"/>
      <c r="GX7" s="48" t="n"/>
      <c r="GY7" s="48" t="n"/>
      <c r="GZ7" s="48" t="n"/>
      <c r="HA7" s="48" t="n"/>
      <c r="HB7" s="48" t="n"/>
      <c r="HC7" s="48" t="n"/>
      <c r="HD7" s="48" t="n"/>
      <c r="HE7" s="48" t="n"/>
      <c r="HF7" s="48" t="n"/>
      <c r="HG7" s="48" t="n"/>
      <c r="HH7" s="48" t="n"/>
      <c r="HI7" s="48" t="n"/>
      <c r="HJ7" s="48" t="n"/>
      <c r="HK7" s="48" t="n"/>
      <c r="HL7" s="48" t="n"/>
      <c r="HM7" s="48" t="n"/>
      <c r="HN7" s="48" t="n"/>
      <c r="HO7" s="48" t="n"/>
      <c r="HP7" s="48" t="n"/>
      <c r="HQ7" s="48" t="n"/>
      <c r="HR7" s="48" t="n"/>
      <c r="HS7" s="48" t="n"/>
      <c r="HT7" s="48" t="n"/>
      <c r="HU7" s="48" t="n"/>
      <c r="HV7" s="48" t="n"/>
      <c r="HW7" s="48" t="n"/>
      <c r="HX7" s="48" t="n"/>
      <c r="HY7" s="48" t="n"/>
      <c r="HZ7" s="48" t="n"/>
      <c r="IA7" s="48" t="n"/>
      <c r="IB7" s="48" t="n"/>
      <c r="IC7" s="48" t="n"/>
      <c r="ID7" s="48" t="n"/>
      <c r="IE7" s="48" t="n"/>
      <c r="IF7" s="48" t="n"/>
      <c r="IG7" s="48" t="n"/>
      <c r="IH7" s="48" t="n"/>
      <c r="II7" s="48" t="n"/>
      <c r="IJ7" s="48" t="n"/>
      <c r="IK7" s="48" t="n"/>
      <c r="IL7" s="48" t="n"/>
      <c r="IM7" s="48" t="n"/>
      <c r="IN7" s="48" t="n"/>
      <c r="IO7" s="48" t="n"/>
      <c r="IP7" s="48" t="n"/>
      <c r="IQ7" s="48" t="n"/>
      <c r="IR7" s="48" t="n"/>
      <c r="IS7" s="48" t="n"/>
      <c r="IT7" s="48" t="n"/>
      <c r="IU7" s="48" t="n"/>
      <c r="IV7" s="48" t="n"/>
      <c r="IW7" s="48" t="n"/>
      <c r="IX7" s="48" t="n"/>
      <c r="IY7" s="48" t="n"/>
      <c r="IZ7" s="48" t="n"/>
      <c r="JA7" s="48" t="n"/>
      <c r="JB7" s="48" t="n"/>
      <c r="JC7" s="48" t="n"/>
      <c r="JD7" s="48" t="n"/>
      <c r="JE7" s="48" t="n"/>
      <c r="JF7" s="48" t="n"/>
      <c r="JG7" s="48" t="n"/>
      <c r="JH7" s="48" t="n"/>
      <c r="JI7" s="48" t="n"/>
      <c r="JJ7" s="48" t="n"/>
      <c r="JK7" s="48" t="n"/>
      <c r="JL7" s="48" t="n"/>
      <c r="JM7" s="48" t="n"/>
      <c r="JN7" s="48" t="n"/>
      <c r="JO7" s="48" t="n"/>
      <c r="JP7" s="48" t="n"/>
      <c r="JQ7" s="48" t="n"/>
      <c r="JR7" s="48" t="n"/>
      <c r="JS7" s="48" t="n"/>
      <c r="JT7" s="48" t="n"/>
      <c r="JU7" s="48" t="n"/>
      <c r="JV7" s="48" t="n"/>
      <c r="JW7" s="48" t="n"/>
      <c r="JX7" s="48" t="n"/>
      <c r="JY7" s="48" t="n"/>
      <c r="JZ7" s="48" t="n"/>
      <c r="KA7" s="48" t="n"/>
      <c r="KB7" s="48" t="n"/>
      <c r="KC7" s="48" t="n"/>
      <c r="KD7" s="48" t="n"/>
      <c r="KE7" s="48" t="n"/>
      <c r="KF7" s="48" t="n"/>
      <c r="KG7" s="48" t="n"/>
      <c r="KH7" s="48" t="n"/>
      <c r="KI7" s="48" t="n"/>
      <c r="KJ7" s="48" t="n"/>
      <c r="KK7" s="48" t="n"/>
      <c r="KL7" s="48" t="n"/>
      <c r="KM7" s="48" t="n"/>
      <c r="KN7" s="48" t="n"/>
      <c r="KO7" s="48" t="n"/>
      <c r="KP7" s="48" t="n"/>
      <c r="KQ7" s="48" t="n"/>
      <c r="KR7" s="48" t="n"/>
      <c r="KS7" s="48" t="n"/>
      <c r="KT7" s="48" t="n"/>
      <c r="KU7" s="48" t="n"/>
      <c r="KV7" s="48" t="n"/>
      <c r="KW7" s="48" t="n"/>
      <c r="KX7" s="48" t="n"/>
      <c r="KY7" s="48" t="n"/>
      <c r="KZ7" s="48" t="n"/>
      <c r="LA7" s="48" t="n"/>
      <c r="LB7" s="48" t="n"/>
      <c r="LC7" s="48" t="n"/>
    </row>
    <row r="8" ht="17" customHeight="1">
      <c r="A8" s="11" t="n">
        <v>2</v>
      </c>
      <c r="B8" s="11" t="inlineStr">
        <is>
          <t>ЮГ-1</t>
        </is>
      </c>
      <c r="C8" s="16">
        <f>'ЮГ-1'!B15</f>
        <v/>
      </c>
      <c r="D8" s="11">
        <f>'ЮГ-1'!C15</f>
        <v/>
      </c>
      <c r="E8" s="11">
        <f>'ЮГ-1'!D15</f>
        <v/>
      </c>
      <c r="F8" s="34">
        <f>'ЮГ-1'!J15</f>
        <v/>
      </c>
      <c r="G8" s="34">
        <f>'ЮГ-1'!G18</f>
        <v/>
      </c>
      <c r="H8" s="34">
        <f>'ЮГ-1'!K15</f>
        <v/>
      </c>
      <c r="I8" s="46">
        <f>'ЮГ-1'!H15</f>
        <v/>
      </c>
      <c r="J8" s="11">
        <f>'ЮГ-1'!L15</f>
        <v/>
      </c>
      <c r="K8" s="11">
        <f>'ЮГ-1'!M15</f>
        <v/>
      </c>
      <c r="L8" s="47">
        <f>'ЮГ-1'!N15</f>
        <v/>
      </c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  <c r="AG8" s="48" t="n"/>
      <c r="AH8" s="48" t="n"/>
      <c r="AI8" s="48" t="n"/>
      <c r="AJ8" s="48" t="n"/>
      <c r="AK8" s="48" t="n"/>
      <c r="AL8" s="48" t="n"/>
      <c r="AM8" s="48" t="n"/>
      <c r="AN8" s="48" t="n"/>
      <c r="AO8" s="48" t="n"/>
      <c r="AP8" s="48" t="n"/>
      <c r="AQ8" s="48" t="n"/>
      <c r="AR8" s="48" t="n"/>
      <c r="AS8" s="48" t="n"/>
      <c r="AT8" s="48" t="n"/>
      <c r="AU8" s="48" t="n"/>
      <c r="AV8" s="48" t="n"/>
      <c r="AW8" s="48" t="n"/>
      <c r="AX8" s="48" t="n"/>
      <c r="AY8" s="48" t="n"/>
      <c r="AZ8" s="48" t="n"/>
      <c r="BA8" s="48" t="n"/>
      <c r="BB8" s="48" t="n"/>
      <c r="BC8" s="48" t="n"/>
      <c r="BD8" s="48" t="n"/>
      <c r="BE8" s="48" t="n"/>
      <c r="BF8" s="48" t="n"/>
      <c r="BG8" s="48" t="n"/>
      <c r="BH8" s="48" t="n"/>
      <c r="BI8" s="48" t="n"/>
      <c r="BJ8" s="48" t="n"/>
      <c r="BK8" s="48" t="n"/>
      <c r="BL8" s="48" t="n"/>
      <c r="BM8" s="48" t="n"/>
      <c r="BN8" s="48" t="n"/>
      <c r="BO8" s="48" t="n"/>
      <c r="BP8" s="48" t="n"/>
      <c r="BQ8" s="48" t="n"/>
      <c r="BR8" s="48" t="n"/>
      <c r="BS8" s="48" t="n"/>
      <c r="BT8" s="48" t="n"/>
      <c r="BU8" s="48" t="n"/>
      <c r="BV8" s="48" t="n"/>
      <c r="BW8" s="48" t="n"/>
      <c r="BX8" s="48" t="n"/>
      <c r="BY8" s="48" t="n"/>
      <c r="BZ8" s="48" t="n"/>
      <c r="CA8" s="48" t="n"/>
      <c r="CB8" s="48" t="n"/>
      <c r="CC8" s="48" t="n"/>
      <c r="CD8" s="48" t="n"/>
      <c r="CE8" s="48" t="n"/>
      <c r="CF8" s="48" t="n"/>
      <c r="CG8" s="48" t="n"/>
      <c r="CH8" s="48" t="n"/>
      <c r="CI8" s="48" t="n"/>
      <c r="CJ8" s="48" t="n"/>
      <c r="CK8" s="48" t="n"/>
      <c r="CL8" s="48" t="n"/>
      <c r="CM8" s="48" t="n"/>
      <c r="CN8" s="48" t="n"/>
      <c r="CO8" s="48" t="n"/>
      <c r="CP8" s="48" t="n"/>
      <c r="CQ8" s="48" t="n"/>
      <c r="CR8" s="48" t="n"/>
      <c r="CS8" s="48" t="n"/>
      <c r="CT8" s="48" t="n"/>
      <c r="CU8" s="48" t="n"/>
      <c r="CV8" s="48" t="n"/>
      <c r="CW8" s="48" t="n"/>
      <c r="CX8" s="48" t="n"/>
      <c r="CY8" s="48" t="n"/>
      <c r="CZ8" s="48" t="n"/>
      <c r="DA8" s="48" t="n"/>
      <c r="DB8" s="48" t="n"/>
      <c r="DC8" s="48" t="n"/>
      <c r="DD8" s="48" t="n"/>
      <c r="DE8" s="48" t="n"/>
      <c r="DF8" s="48" t="n"/>
      <c r="DG8" s="48" t="n"/>
      <c r="DH8" s="48" t="n"/>
      <c r="DI8" s="48" t="n"/>
      <c r="DJ8" s="48" t="n"/>
      <c r="DK8" s="48" t="n"/>
      <c r="DL8" s="48" t="n"/>
      <c r="DM8" s="48" t="n"/>
      <c r="DN8" s="48" t="n"/>
      <c r="DO8" s="48" t="n"/>
      <c r="DP8" s="48" t="n"/>
      <c r="DQ8" s="48" t="n"/>
      <c r="DR8" s="48" t="n"/>
      <c r="DS8" s="48" t="n"/>
      <c r="DT8" s="48" t="n"/>
      <c r="DU8" s="48" t="n"/>
      <c r="DV8" s="48" t="n"/>
      <c r="DW8" s="48" t="n"/>
      <c r="DX8" s="48" t="n"/>
      <c r="DY8" s="48" t="n"/>
      <c r="DZ8" s="48" t="n"/>
      <c r="EA8" s="48" t="n"/>
      <c r="EB8" s="48" t="n"/>
      <c r="EC8" s="48" t="n"/>
      <c r="ED8" s="48" t="n"/>
      <c r="EE8" s="48" t="n"/>
      <c r="EF8" s="48" t="n"/>
      <c r="EG8" s="48" t="n"/>
      <c r="EH8" s="48" t="n"/>
      <c r="EI8" s="48" t="n"/>
      <c r="EJ8" s="48" t="n"/>
      <c r="EK8" s="48" t="n"/>
      <c r="EL8" s="48" t="n"/>
      <c r="EM8" s="48" t="n"/>
      <c r="EN8" s="48" t="n"/>
      <c r="EO8" s="48" t="n"/>
      <c r="EP8" s="48" t="n"/>
      <c r="EQ8" s="48" t="n"/>
      <c r="ER8" s="48" t="n"/>
      <c r="ES8" s="48" t="n"/>
      <c r="ET8" s="48" t="n"/>
      <c r="EU8" s="48" t="n"/>
      <c r="EV8" s="48" t="n"/>
      <c r="EW8" s="48" t="n"/>
      <c r="EX8" s="48" t="n"/>
      <c r="EY8" s="48" t="n"/>
      <c r="EZ8" s="48" t="n"/>
      <c r="FA8" s="48" t="n"/>
      <c r="FB8" s="48" t="n"/>
      <c r="FC8" s="48" t="n"/>
      <c r="FD8" s="48" t="n"/>
      <c r="FE8" s="48" t="n"/>
      <c r="FF8" s="48" t="n"/>
      <c r="FG8" s="48" t="n"/>
      <c r="FH8" s="48" t="n"/>
      <c r="FI8" s="48" t="n"/>
      <c r="FJ8" s="48" t="n"/>
      <c r="FK8" s="48" t="n"/>
      <c r="FL8" s="48" t="n"/>
      <c r="FM8" s="48" t="n"/>
      <c r="FN8" s="48" t="n"/>
      <c r="FO8" s="48" t="n"/>
      <c r="FP8" s="48" t="n"/>
      <c r="FQ8" s="48" t="n"/>
      <c r="FR8" s="48" t="n"/>
      <c r="FS8" s="48" t="n"/>
      <c r="FT8" s="48" t="n"/>
      <c r="FU8" s="48" t="n"/>
      <c r="FV8" s="48" t="n"/>
      <c r="FW8" s="48" t="n"/>
      <c r="FX8" s="48" t="n"/>
      <c r="FY8" s="48" t="n"/>
      <c r="FZ8" s="48" t="n"/>
      <c r="GA8" s="48" t="n"/>
      <c r="GB8" s="48" t="n"/>
      <c r="GC8" s="48" t="n"/>
      <c r="GD8" s="48" t="n"/>
      <c r="GE8" s="48" t="n"/>
      <c r="GF8" s="48" t="n"/>
      <c r="GG8" s="48" t="n"/>
      <c r="GH8" s="48" t="n"/>
      <c r="GI8" s="48" t="n"/>
      <c r="GJ8" s="48" t="n"/>
      <c r="GK8" s="48" t="n"/>
      <c r="GL8" s="48" t="n"/>
      <c r="GM8" s="48" t="n"/>
      <c r="GN8" s="48" t="n"/>
      <c r="GO8" s="48" t="n"/>
      <c r="GP8" s="48" t="n"/>
      <c r="GQ8" s="48" t="n"/>
      <c r="GR8" s="48" t="n"/>
      <c r="GS8" s="48" t="n"/>
      <c r="GT8" s="48" t="n"/>
      <c r="GU8" s="48" t="n"/>
      <c r="GV8" s="48" t="n"/>
      <c r="GW8" s="48" t="n"/>
      <c r="GX8" s="48" t="n"/>
      <c r="GY8" s="48" t="n"/>
      <c r="GZ8" s="48" t="n"/>
      <c r="HA8" s="48" t="n"/>
      <c r="HB8" s="48" t="n"/>
      <c r="HC8" s="48" t="n"/>
      <c r="HD8" s="48" t="n"/>
      <c r="HE8" s="48" t="n"/>
      <c r="HF8" s="48" t="n"/>
      <c r="HG8" s="48" t="n"/>
      <c r="HH8" s="48" t="n"/>
      <c r="HI8" s="48" t="n"/>
      <c r="HJ8" s="48" t="n"/>
      <c r="HK8" s="48" t="n"/>
      <c r="HL8" s="48" t="n"/>
      <c r="HM8" s="48" t="n"/>
      <c r="HN8" s="48" t="n"/>
      <c r="HO8" s="48" t="n"/>
      <c r="HP8" s="48" t="n"/>
      <c r="HQ8" s="48" t="n"/>
      <c r="HR8" s="48" t="n"/>
      <c r="HS8" s="48" t="n"/>
      <c r="HT8" s="48" t="n"/>
      <c r="HU8" s="48" t="n"/>
      <c r="HV8" s="48" t="n"/>
      <c r="HW8" s="48" t="n"/>
      <c r="HX8" s="48" t="n"/>
      <c r="HY8" s="48" t="n"/>
      <c r="HZ8" s="48" t="n"/>
      <c r="IA8" s="48" t="n"/>
      <c r="IB8" s="48" t="n"/>
      <c r="IC8" s="48" t="n"/>
      <c r="ID8" s="48" t="n"/>
      <c r="IE8" s="48" t="n"/>
      <c r="IF8" s="48" t="n"/>
      <c r="IG8" s="48" t="n"/>
      <c r="IH8" s="48" t="n"/>
      <c r="II8" s="48" t="n"/>
      <c r="IJ8" s="48" t="n"/>
      <c r="IK8" s="48" t="n"/>
      <c r="IL8" s="48" t="n"/>
      <c r="IM8" s="48" t="n"/>
      <c r="IN8" s="48" t="n"/>
      <c r="IO8" s="48" t="n"/>
      <c r="IP8" s="48" t="n"/>
      <c r="IQ8" s="48" t="n"/>
      <c r="IR8" s="48" t="n"/>
      <c r="IS8" s="48" t="n"/>
      <c r="IT8" s="48" t="n"/>
      <c r="IU8" s="48" t="n"/>
      <c r="IV8" s="48" t="n"/>
      <c r="IW8" s="48" t="n"/>
      <c r="IX8" s="48" t="n"/>
      <c r="IY8" s="48" t="n"/>
      <c r="IZ8" s="48" t="n"/>
      <c r="JA8" s="48" t="n"/>
      <c r="JB8" s="48" t="n"/>
      <c r="JC8" s="48" t="n"/>
      <c r="JD8" s="48" t="n"/>
      <c r="JE8" s="48" t="n"/>
      <c r="JF8" s="48" t="n"/>
      <c r="JG8" s="48" t="n"/>
      <c r="JH8" s="48" t="n"/>
      <c r="JI8" s="48" t="n"/>
      <c r="JJ8" s="48" t="n"/>
      <c r="JK8" s="48" t="n"/>
      <c r="JL8" s="48" t="n"/>
      <c r="JM8" s="48" t="n"/>
      <c r="JN8" s="48" t="n"/>
      <c r="JO8" s="48" t="n"/>
      <c r="JP8" s="48" t="n"/>
      <c r="JQ8" s="48" t="n"/>
      <c r="JR8" s="48" t="n"/>
      <c r="JS8" s="48" t="n"/>
      <c r="JT8" s="48" t="n"/>
      <c r="JU8" s="48" t="n"/>
      <c r="JV8" s="48" t="n"/>
      <c r="JW8" s="48" t="n"/>
      <c r="JX8" s="48" t="n"/>
      <c r="JY8" s="48" t="n"/>
      <c r="JZ8" s="48" t="n"/>
      <c r="KA8" s="48" t="n"/>
      <c r="KB8" s="48" t="n"/>
      <c r="KC8" s="48" t="n"/>
      <c r="KD8" s="48" t="n"/>
      <c r="KE8" s="48" t="n"/>
      <c r="KF8" s="48" t="n"/>
      <c r="KG8" s="48" t="n"/>
      <c r="KH8" s="48" t="n"/>
      <c r="KI8" s="48" t="n"/>
      <c r="KJ8" s="48" t="n"/>
      <c r="KK8" s="48" t="n"/>
      <c r="KL8" s="48" t="n"/>
      <c r="KM8" s="48" t="n"/>
      <c r="KN8" s="48" t="n"/>
      <c r="KO8" s="48" t="n"/>
      <c r="KP8" s="48" t="n"/>
      <c r="KQ8" s="48" t="n"/>
      <c r="KR8" s="48" t="n"/>
      <c r="KS8" s="48" t="n"/>
      <c r="KT8" s="48" t="n"/>
      <c r="KU8" s="48" t="n"/>
      <c r="KV8" s="48" t="n"/>
      <c r="KW8" s="48" t="n"/>
      <c r="KX8" s="48" t="n"/>
      <c r="KY8" s="48" t="n"/>
      <c r="KZ8" s="48" t="n"/>
      <c r="LA8" s="48" t="n"/>
      <c r="LB8" s="48" t="n"/>
      <c r="LC8" s="48" t="n"/>
    </row>
    <row r="9" ht="17" customHeight="1">
      <c r="A9" s="11" t="n">
        <v>3</v>
      </c>
      <c r="B9" s="11" t="inlineStr">
        <is>
          <t>ЮГ-1</t>
        </is>
      </c>
      <c r="C9" s="16">
        <f>'ЮГ-1'!B25</f>
        <v/>
      </c>
      <c r="D9" s="11">
        <f>'ЮГ-1'!C25</f>
        <v/>
      </c>
      <c r="E9" s="11">
        <f>'ЮГ-1'!D25</f>
        <v/>
      </c>
      <c r="F9" s="34">
        <f>'ЮГ-1'!J25</f>
        <v/>
      </c>
      <c r="G9" s="34">
        <f>'ЮГ-1'!G28</f>
        <v/>
      </c>
      <c r="H9" s="34">
        <f>'ЮГ-1'!K25</f>
        <v/>
      </c>
      <c r="I9" s="46">
        <f>'ЮГ-1'!H25</f>
        <v/>
      </c>
      <c r="J9" s="11">
        <f>'ЮГ-1'!L25</f>
        <v/>
      </c>
      <c r="K9" s="11">
        <f>'ЮГ-1'!M25</f>
        <v/>
      </c>
      <c r="L9" s="47">
        <f>'ЮГ-1'!N25</f>
        <v/>
      </c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  <c r="AJ9" s="48" t="n"/>
      <c r="AK9" s="48" t="n"/>
      <c r="AL9" s="48" t="n"/>
      <c r="AM9" s="48" t="n"/>
      <c r="AN9" s="48" t="n"/>
      <c r="AO9" s="48" t="n"/>
      <c r="AP9" s="48" t="n"/>
      <c r="AQ9" s="48" t="n"/>
      <c r="AR9" s="48" t="n"/>
      <c r="AS9" s="48" t="n"/>
      <c r="AT9" s="48" t="n"/>
      <c r="AU9" s="48" t="n"/>
      <c r="AV9" s="48" t="n"/>
      <c r="AW9" s="48" t="n"/>
      <c r="AX9" s="48" t="n"/>
      <c r="AY9" s="48" t="n"/>
      <c r="AZ9" s="48" t="n"/>
      <c r="BA9" s="48" t="n"/>
      <c r="BB9" s="48" t="n"/>
      <c r="BC9" s="48" t="n"/>
      <c r="BD9" s="48" t="n"/>
      <c r="BE9" s="48" t="n"/>
      <c r="BF9" s="48" t="n"/>
      <c r="BG9" s="48" t="n"/>
      <c r="BH9" s="48" t="n"/>
      <c r="BI9" s="48" t="n"/>
      <c r="BJ9" s="48" t="n"/>
      <c r="BK9" s="48" t="n"/>
      <c r="BL9" s="48" t="n"/>
      <c r="BM9" s="48" t="n"/>
      <c r="BN9" s="48" t="n"/>
      <c r="BO9" s="48" t="n"/>
      <c r="BP9" s="48" t="n"/>
      <c r="BQ9" s="48" t="n"/>
      <c r="BR9" s="48" t="n"/>
      <c r="BS9" s="48" t="n"/>
      <c r="BT9" s="48" t="n"/>
      <c r="BU9" s="48" t="n"/>
      <c r="BV9" s="48" t="n"/>
      <c r="BW9" s="48" t="n"/>
      <c r="BX9" s="48" t="n"/>
      <c r="BY9" s="48" t="n"/>
      <c r="BZ9" s="48" t="n"/>
      <c r="CA9" s="48" t="n"/>
      <c r="CB9" s="48" t="n"/>
      <c r="CC9" s="48" t="n"/>
      <c r="CD9" s="48" t="n"/>
      <c r="CE9" s="48" t="n"/>
      <c r="CF9" s="48" t="n"/>
      <c r="CG9" s="48" t="n"/>
      <c r="CH9" s="48" t="n"/>
      <c r="CI9" s="48" t="n"/>
      <c r="CJ9" s="48" t="n"/>
      <c r="CK9" s="48" t="n"/>
      <c r="CL9" s="48" t="n"/>
      <c r="CM9" s="48" t="n"/>
      <c r="CN9" s="48" t="n"/>
      <c r="CO9" s="48" t="n"/>
      <c r="CP9" s="48" t="n"/>
      <c r="CQ9" s="48" t="n"/>
      <c r="CR9" s="48" t="n"/>
      <c r="CS9" s="48" t="n"/>
      <c r="CT9" s="48" t="n"/>
      <c r="CU9" s="48" t="n"/>
      <c r="CV9" s="48" t="n"/>
      <c r="CW9" s="48" t="n"/>
      <c r="CX9" s="48" t="n"/>
      <c r="CY9" s="48" t="n"/>
      <c r="CZ9" s="48" t="n"/>
      <c r="DA9" s="48" t="n"/>
      <c r="DB9" s="48" t="n"/>
      <c r="DC9" s="48" t="n"/>
      <c r="DD9" s="48" t="n"/>
      <c r="DE9" s="48" t="n"/>
      <c r="DF9" s="48" t="n"/>
      <c r="DG9" s="48" t="n"/>
      <c r="DH9" s="48" t="n"/>
      <c r="DI9" s="48" t="n"/>
      <c r="DJ9" s="48" t="n"/>
      <c r="DK9" s="48" t="n"/>
      <c r="DL9" s="48" t="n"/>
      <c r="DM9" s="48" t="n"/>
      <c r="DN9" s="48" t="n"/>
      <c r="DO9" s="48" t="n"/>
      <c r="DP9" s="48" t="n"/>
      <c r="DQ9" s="48" t="n"/>
      <c r="DR9" s="48" t="n"/>
      <c r="DS9" s="48" t="n"/>
      <c r="DT9" s="48" t="n"/>
      <c r="DU9" s="48" t="n"/>
      <c r="DV9" s="48" t="n"/>
      <c r="DW9" s="48" t="n"/>
      <c r="DX9" s="48" t="n"/>
      <c r="DY9" s="48" t="n"/>
      <c r="DZ9" s="48" t="n"/>
      <c r="EA9" s="48" t="n"/>
      <c r="EB9" s="48" t="n"/>
      <c r="EC9" s="48" t="n"/>
      <c r="ED9" s="48" t="n"/>
      <c r="EE9" s="48" t="n"/>
      <c r="EF9" s="48" t="n"/>
      <c r="EG9" s="48" t="n"/>
      <c r="EH9" s="48" t="n"/>
      <c r="EI9" s="48" t="n"/>
      <c r="EJ9" s="48" t="n"/>
      <c r="EK9" s="48" t="n"/>
      <c r="EL9" s="48" t="n"/>
      <c r="EM9" s="48" t="n"/>
      <c r="EN9" s="48" t="n"/>
      <c r="EO9" s="48" t="n"/>
      <c r="EP9" s="48" t="n"/>
      <c r="EQ9" s="48" t="n"/>
      <c r="ER9" s="48" t="n"/>
      <c r="ES9" s="48" t="n"/>
      <c r="ET9" s="48" t="n"/>
      <c r="EU9" s="48" t="n"/>
      <c r="EV9" s="48" t="n"/>
      <c r="EW9" s="48" t="n"/>
      <c r="EX9" s="48" t="n"/>
      <c r="EY9" s="48" t="n"/>
      <c r="EZ9" s="48" t="n"/>
      <c r="FA9" s="48" t="n"/>
      <c r="FB9" s="48" t="n"/>
      <c r="FC9" s="48" t="n"/>
      <c r="FD9" s="48" t="n"/>
      <c r="FE9" s="48" t="n"/>
      <c r="FF9" s="48" t="n"/>
      <c r="FG9" s="48" t="n"/>
      <c r="FH9" s="48" t="n"/>
      <c r="FI9" s="48" t="n"/>
      <c r="FJ9" s="48" t="n"/>
      <c r="FK9" s="48" t="n"/>
      <c r="FL9" s="48" t="n"/>
      <c r="FM9" s="48" t="n"/>
      <c r="FN9" s="48" t="n"/>
      <c r="FO9" s="48" t="n"/>
      <c r="FP9" s="48" t="n"/>
      <c r="FQ9" s="48" t="n"/>
      <c r="FR9" s="48" t="n"/>
      <c r="FS9" s="48" t="n"/>
      <c r="FT9" s="48" t="n"/>
      <c r="FU9" s="48" t="n"/>
      <c r="FV9" s="48" t="n"/>
      <c r="FW9" s="48" t="n"/>
      <c r="FX9" s="48" t="n"/>
      <c r="FY9" s="48" t="n"/>
      <c r="FZ9" s="48" t="n"/>
      <c r="GA9" s="48" t="n"/>
      <c r="GB9" s="48" t="n"/>
      <c r="GC9" s="48" t="n"/>
      <c r="GD9" s="48" t="n"/>
      <c r="GE9" s="48" t="n"/>
      <c r="GF9" s="48" t="n"/>
      <c r="GG9" s="48" t="n"/>
      <c r="GH9" s="48" t="n"/>
      <c r="GI9" s="48" t="n"/>
      <c r="GJ9" s="48" t="n"/>
      <c r="GK9" s="48" t="n"/>
      <c r="GL9" s="48" t="n"/>
      <c r="GM9" s="48" t="n"/>
      <c r="GN9" s="48" t="n"/>
      <c r="GO9" s="48" t="n"/>
      <c r="GP9" s="48" t="n"/>
      <c r="GQ9" s="48" t="n"/>
      <c r="GR9" s="48" t="n"/>
      <c r="GS9" s="48" t="n"/>
      <c r="GT9" s="48" t="n"/>
      <c r="GU9" s="48" t="n"/>
      <c r="GV9" s="48" t="n"/>
      <c r="GW9" s="48" t="n"/>
      <c r="GX9" s="48" t="n"/>
      <c r="GY9" s="48" t="n"/>
      <c r="GZ9" s="48" t="n"/>
      <c r="HA9" s="48" t="n"/>
      <c r="HB9" s="48" t="n"/>
      <c r="HC9" s="48" t="n"/>
      <c r="HD9" s="48" t="n"/>
      <c r="HE9" s="48" t="n"/>
      <c r="HF9" s="48" t="n"/>
      <c r="HG9" s="48" t="n"/>
      <c r="HH9" s="48" t="n"/>
      <c r="HI9" s="48" t="n"/>
      <c r="HJ9" s="48" t="n"/>
      <c r="HK9" s="48" t="n"/>
      <c r="HL9" s="48" t="n"/>
      <c r="HM9" s="48" t="n"/>
      <c r="HN9" s="48" t="n"/>
      <c r="HO9" s="48" t="n"/>
      <c r="HP9" s="48" t="n"/>
      <c r="HQ9" s="48" t="n"/>
      <c r="HR9" s="48" t="n"/>
      <c r="HS9" s="48" t="n"/>
      <c r="HT9" s="48" t="n"/>
      <c r="HU9" s="48" t="n"/>
      <c r="HV9" s="48" t="n"/>
      <c r="HW9" s="48" t="n"/>
      <c r="HX9" s="48" t="n"/>
      <c r="HY9" s="48" t="n"/>
      <c r="HZ9" s="48" t="n"/>
      <c r="IA9" s="48" t="n"/>
      <c r="IB9" s="48" t="n"/>
      <c r="IC9" s="48" t="n"/>
      <c r="ID9" s="48" t="n"/>
      <c r="IE9" s="48" t="n"/>
      <c r="IF9" s="48" t="n"/>
      <c r="IG9" s="48" t="n"/>
      <c r="IH9" s="48" t="n"/>
      <c r="II9" s="48" t="n"/>
      <c r="IJ9" s="48" t="n"/>
      <c r="IK9" s="48" t="n"/>
      <c r="IL9" s="48" t="n"/>
      <c r="IM9" s="48" t="n"/>
      <c r="IN9" s="48" t="n"/>
      <c r="IO9" s="48" t="n"/>
      <c r="IP9" s="48" t="n"/>
      <c r="IQ9" s="48" t="n"/>
      <c r="IR9" s="48" t="n"/>
      <c r="IS9" s="48" t="n"/>
      <c r="IT9" s="48" t="n"/>
      <c r="IU9" s="48" t="n"/>
      <c r="IV9" s="48" t="n"/>
      <c r="IW9" s="48" t="n"/>
      <c r="IX9" s="48" t="n"/>
      <c r="IY9" s="48" t="n"/>
      <c r="IZ9" s="48" t="n"/>
      <c r="JA9" s="48" t="n"/>
      <c r="JB9" s="48" t="n"/>
      <c r="JC9" s="48" t="n"/>
      <c r="JD9" s="48" t="n"/>
      <c r="JE9" s="48" t="n"/>
      <c r="JF9" s="48" t="n"/>
      <c r="JG9" s="48" t="n"/>
      <c r="JH9" s="48" t="n"/>
      <c r="JI9" s="48" t="n"/>
      <c r="JJ9" s="48" t="n"/>
      <c r="JK9" s="48" t="n"/>
      <c r="JL9" s="48" t="n"/>
      <c r="JM9" s="48" t="n"/>
      <c r="JN9" s="48" t="n"/>
      <c r="JO9" s="48" t="n"/>
      <c r="JP9" s="48" t="n"/>
      <c r="JQ9" s="48" t="n"/>
      <c r="JR9" s="48" t="n"/>
      <c r="JS9" s="48" t="n"/>
      <c r="JT9" s="48" t="n"/>
      <c r="JU9" s="48" t="n"/>
      <c r="JV9" s="48" t="n"/>
      <c r="JW9" s="48" t="n"/>
      <c r="JX9" s="48" t="n"/>
      <c r="JY9" s="48" t="n"/>
      <c r="JZ9" s="48" t="n"/>
      <c r="KA9" s="48" t="n"/>
      <c r="KB9" s="48" t="n"/>
      <c r="KC9" s="48" t="n"/>
      <c r="KD9" s="48" t="n"/>
      <c r="KE9" s="48" t="n"/>
      <c r="KF9" s="48" t="n"/>
      <c r="KG9" s="48" t="n"/>
      <c r="KH9" s="48" t="n"/>
      <c r="KI9" s="48" t="n"/>
      <c r="KJ9" s="48" t="n"/>
      <c r="KK9" s="48" t="n"/>
      <c r="KL9" s="48" t="n"/>
      <c r="KM9" s="48" t="n"/>
      <c r="KN9" s="48" t="n"/>
      <c r="KO9" s="48" t="n"/>
      <c r="KP9" s="48" t="n"/>
      <c r="KQ9" s="48" t="n"/>
      <c r="KR9" s="48" t="n"/>
      <c r="KS9" s="48" t="n"/>
      <c r="KT9" s="48" t="n"/>
      <c r="KU9" s="48" t="n"/>
      <c r="KV9" s="48" t="n"/>
      <c r="KW9" s="48" t="n"/>
      <c r="KX9" s="48" t="n"/>
      <c r="KY9" s="48" t="n"/>
      <c r="KZ9" s="48" t="n"/>
      <c r="LA9" s="48" t="n"/>
      <c r="LB9" s="48" t="n"/>
      <c r="LC9" s="48" t="n"/>
    </row>
    <row r="10" ht="17" customHeight="1">
      <c r="A10" s="11" t="n">
        <v>4</v>
      </c>
      <c r="B10" s="11" t="inlineStr">
        <is>
          <t>ЮГ-1</t>
        </is>
      </c>
      <c r="C10" s="16">
        <f>'ЮГ-1'!B35</f>
        <v/>
      </c>
      <c r="D10" s="11">
        <f>'ЮГ-1'!C35</f>
        <v/>
      </c>
      <c r="E10" s="11">
        <f>'ЮГ-1'!D35</f>
        <v/>
      </c>
      <c r="F10" s="34">
        <f>'ЮГ-1'!J35</f>
        <v/>
      </c>
      <c r="G10" s="34">
        <f>'ЮГ-1'!G38</f>
        <v/>
      </c>
      <c r="H10" s="34">
        <f>'ЮГ-1'!K35</f>
        <v/>
      </c>
      <c r="I10" s="46">
        <f>'ЮГ-1'!H35</f>
        <v/>
      </c>
      <c r="J10" s="11">
        <f>'ЮГ-1'!L35</f>
        <v/>
      </c>
      <c r="K10" s="11">
        <f>'ЮГ-1'!M35</f>
        <v/>
      </c>
      <c r="L10" s="47">
        <f>'ЮГ-1'!N35</f>
        <v/>
      </c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8" t="n"/>
      <c r="AA10" s="48" t="n"/>
      <c r="AB10" s="48" t="n"/>
      <c r="AC10" s="48" t="n"/>
      <c r="AD10" s="48" t="n"/>
      <c r="AE10" s="48" t="n"/>
      <c r="AF10" s="48" t="n"/>
      <c r="AG10" s="48" t="n"/>
      <c r="AH10" s="48" t="n"/>
      <c r="AI10" s="48" t="n"/>
      <c r="AJ10" s="48" t="n"/>
      <c r="AK10" s="48" t="n"/>
      <c r="AL10" s="48" t="n"/>
      <c r="AM10" s="48" t="n"/>
      <c r="AN10" s="48" t="n"/>
      <c r="AO10" s="48" t="n"/>
      <c r="AP10" s="48" t="n"/>
      <c r="AQ10" s="48" t="n"/>
      <c r="AR10" s="48" t="n"/>
      <c r="AS10" s="48" t="n"/>
      <c r="AT10" s="48" t="n"/>
      <c r="AU10" s="48" t="n"/>
      <c r="AV10" s="48" t="n"/>
      <c r="AW10" s="48" t="n"/>
      <c r="AX10" s="48" t="n"/>
      <c r="AY10" s="48" t="n"/>
      <c r="AZ10" s="48" t="n"/>
      <c r="BA10" s="48" t="n"/>
      <c r="BB10" s="48" t="n"/>
      <c r="BC10" s="48" t="n"/>
      <c r="BD10" s="48" t="n"/>
      <c r="BE10" s="48" t="n"/>
      <c r="BF10" s="48" t="n"/>
      <c r="BG10" s="48" t="n"/>
      <c r="BH10" s="48" t="n"/>
      <c r="BI10" s="48" t="n"/>
      <c r="BJ10" s="48" t="n"/>
      <c r="BK10" s="48" t="n"/>
      <c r="BL10" s="48" t="n"/>
      <c r="BM10" s="48" t="n"/>
      <c r="BN10" s="48" t="n"/>
      <c r="BO10" s="48" t="n"/>
      <c r="BP10" s="48" t="n"/>
      <c r="BQ10" s="48" t="n"/>
      <c r="BR10" s="48" t="n"/>
      <c r="BS10" s="48" t="n"/>
      <c r="BT10" s="48" t="n"/>
      <c r="BU10" s="48" t="n"/>
      <c r="BV10" s="48" t="n"/>
      <c r="BW10" s="48" t="n"/>
      <c r="BX10" s="48" t="n"/>
      <c r="BY10" s="48" t="n"/>
      <c r="BZ10" s="48" t="n"/>
      <c r="CA10" s="48" t="n"/>
      <c r="CB10" s="48" t="n"/>
      <c r="CC10" s="48" t="n"/>
      <c r="CD10" s="48" t="n"/>
      <c r="CE10" s="48" t="n"/>
      <c r="CF10" s="48" t="n"/>
      <c r="CG10" s="48" t="n"/>
      <c r="CH10" s="48" t="n"/>
      <c r="CI10" s="48" t="n"/>
      <c r="CJ10" s="48" t="n"/>
      <c r="CK10" s="48" t="n"/>
      <c r="CL10" s="48" t="n"/>
      <c r="CM10" s="48" t="n"/>
      <c r="CN10" s="48" t="n"/>
      <c r="CO10" s="48" t="n"/>
      <c r="CP10" s="48" t="n"/>
      <c r="CQ10" s="48" t="n"/>
      <c r="CR10" s="48" t="n"/>
      <c r="CS10" s="48" t="n"/>
      <c r="CT10" s="48" t="n"/>
      <c r="CU10" s="48" t="n"/>
      <c r="CV10" s="48" t="n"/>
      <c r="CW10" s="48" t="n"/>
      <c r="CX10" s="48" t="n"/>
      <c r="CY10" s="48" t="n"/>
      <c r="CZ10" s="48" t="n"/>
      <c r="DA10" s="48" t="n"/>
      <c r="DB10" s="48" t="n"/>
      <c r="DC10" s="48" t="n"/>
      <c r="DD10" s="48" t="n"/>
      <c r="DE10" s="48" t="n"/>
      <c r="DF10" s="48" t="n"/>
      <c r="DG10" s="48" t="n"/>
      <c r="DH10" s="48" t="n"/>
      <c r="DI10" s="48" t="n"/>
      <c r="DJ10" s="48" t="n"/>
      <c r="DK10" s="48" t="n"/>
      <c r="DL10" s="48" t="n"/>
      <c r="DM10" s="48" t="n"/>
      <c r="DN10" s="48" t="n"/>
      <c r="DO10" s="48" t="n"/>
      <c r="DP10" s="48" t="n"/>
      <c r="DQ10" s="48" t="n"/>
      <c r="DR10" s="48" t="n"/>
      <c r="DS10" s="48" t="n"/>
      <c r="DT10" s="48" t="n"/>
      <c r="DU10" s="48" t="n"/>
      <c r="DV10" s="48" t="n"/>
      <c r="DW10" s="48" t="n"/>
      <c r="DX10" s="48" t="n"/>
      <c r="DY10" s="48" t="n"/>
      <c r="DZ10" s="48" t="n"/>
      <c r="EA10" s="48" t="n"/>
      <c r="EB10" s="48" t="n"/>
      <c r="EC10" s="48" t="n"/>
      <c r="ED10" s="48" t="n"/>
      <c r="EE10" s="48" t="n"/>
      <c r="EF10" s="48" t="n"/>
      <c r="EG10" s="48" t="n"/>
      <c r="EH10" s="48" t="n"/>
      <c r="EI10" s="48" t="n"/>
      <c r="EJ10" s="48" t="n"/>
      <c r="EK10" s="48" t="n"/>
      <c r="EL10" s="48" t="n"/>
      <c r="EM10" s="48" t="n"/>
      <c r="EN10" s="48" t="n"/>
      <c r="EO10" s="48" t="n"/>
      <c r="EP10" s="48" t="n"/>
      <c r="EQ10" s="48" t="n"/>
      <c r="ER10" s="48" t="n"/>
      <c r="ES10" s="48" t="n"/>
      <c r="ET10" s="48" t="n"/>
      <c r="EU10" s="48" t="n"/>
      <c r="EV10" s="48" t="n"/>
      <c r="EW10" s="48" t="n"/>
      <c r="EX10" s="48" t="n"/>
      <c r="EY10" s="48" t="n"/>
      <c r="EZ10" s="48" t="n"/>
      <c r="FA10" s="48" t="n"/>
      <c r="FB10" s="48" t="n"/>
      <c r="FC10" s="48" t="n"/>
      <c r="FD10" s="48" t="n"/>
      <c r="FE10" s="48" t="n"/>
      <c r="FF10" s="48" t="n"/>
      <c r="FG10" s="48" t="n"/>
      <c r="FH10" s="48" t="n"/>
      <c r="FI10" s="48" t="n"/>
      <c r="FJ10" s="48" t="n"/>
      <c r="FK10" s="48" t="n"/>
      <c r="FL10" s="48" t="n"/>
      <c r="FM10" s="48" t="n"/>
      <c r="FN10" s="48" t="n"/>
      <c r="FO10" s="48" t="n"/>
      <c r="FP10" s="48" t="n"/>
      <c r="FQ10" s="48" t="n"/>
      <c r="FR10" s="48" t="n"/>
      <c r="FS10" s="48" t="n"/>
      <c r="FT10" s="48" t="n"/>
      <c r="FU10" s="48" t="n"/>
      <c r="FV10" s="48" t="n"/>
      <c r="FW10" s="48" t="n"/>
      <c r="FX10" s="48" t="n"/>
      <c r="FY10" s="48" t="n"/>
      <c r="FZ10" s="48" t="n"/>
      <c r="GA10" s="48" t="n"/>
      <c r="GB10" s="48" t="n"/>
      <c r="GC10" s="48" t="n"/>
      <c r="GD10" s="48" t="n"/>
      <c r="GE10" s="48" t="n"/>
      <c r="GF10" s="48" t="n"/>
      <c r="GG10" s="48" t="n"/>
      <c r="GH10" s="48" t="n"/>
      <c r="GI10" s="48" t="n"/>
      <c r="GJ10" s="48" t="n"/>
      <c r="GK10" s="48" t="n"/>
      <c r="GL10" s="48" t="n"/>
      <c r="GM10" s="48" t="n"/>
      <c r="GN10" s="48" t="n"/>
      <c r="GO10" s="48" t="n"/>
      <c r="GP10" s="48" t="n"/>
      <c r="GQ10" s="48" t="n"/>
      <c r="GR10" s="48" t="n"/>
      <c r="GS10" s="48" t="n"/>
      <c r="GT10" s="48" t="n"/>
      <c r="GU10" s="48" t="n"/>
      <c r="GV10" s="48" t="n"/>
      <c r="GW10" s="48" t="n"/>
      <c r="GX10" s="48" t="n"/>
      <c r="GY10" s="48" t="n"/>
      <c r="GZ10" s="48" t="n"/>
      <c r="HA10" s="48" t="n"/>
      <c r="HB10" s="48" t="n"/>
      <c r="HC10" s="48" t="n"/>
      <c r="HD10" s="48" t="n"/>
      <c r="HE10" s="48" t="n"/>
      <c r="HF10" s="48" t="n"/>
      <c r="HG10" s="48" t="n"/>
      <c r="HH10" s="48" t="n"/>
      <c r="HI10" s="48" t="n"/>
      <c r="HJ10" s="48" t="n"/>
      <c r="HK10" s="48" t="n"/>
      <c r="HL10" s="48" t="n"/>
      <c r="HM10" s="48" t="n"/>
      <c r="HN10" s="48" t="n"/>
      <c r="HO10" s="48" t="n"/>
      <c r="HP10" s="48" t="n"/>
      <c r="HQ10" s="48" t="n"/>
      <c r="HR10" s="48" t="n"/>
      <c r="HS10" s="48" t="n"/>
      <c r="HT10" s="48" t="n"/>
      <c r="HU10" s="48" t="n"/>
      <c r="HV10" s="48" t="n"/>
      <c r="HW10" s="48" t="n"/>
      <c r="HX10" s="48" t="n"/>
      <c r="HY10" s="48" t="n"/>
      <c r="HZ10" s="48" t="n"/>
      <c r="IA10" s="48" t="n"/>
      <c r="IB10" s="48" t="n"/>
      <c r="IC10" s="48" t="n"/>
      <c r="ID10" s="48" t="n"/>
      <c r="IE10" s="48" t="n"/>
      <c r="IF10" s="48" t="n"/>
      <c r="IG10" s="48" t="n"/>
      <c r="IH10" s="48" t="n"/>
      <c r="II10" s="48" t="n"/>
      <c r="IJ10" s="48" t="n"/>
      <c r="IK10" s="48" t="n"/>
      <c r="IL10" s="48" t="n"/>
      <c r="IM10" s="48" t="n"/>
      <c r="IN10" s="48" t="n"/>
      <c r="IO10" s="48" t="n"/>
      <c r="IP10" s="48" t="n"/>
      <c r="IQ10" s="48" t="n"/>
      <c r="IR10" s="48" t="n"/>
      <c r="IS10" s="48" t="n"/>
      <c r="IT10" s="48" t="n"/>
      <c r="IU10" s="48" t="n"/>
      <c r="IV10" s="48" t="n"/>
      <c r="IW10" s="48" t="n"/>
      <c r="IX10" s="48" t="n"/>
      <c r="IY10" s="48" t="n"/>
      <c r="IZ10" s="48" t="n"/>
      <c r="JA10" s="48" t="n"/>
      <c r="JB10" s="48" t="n"/>
      <c r="JC10" s="48" t="n"/>
      <c r="JD10" s="48" t="n"/>
      <c r="JE10" s="48" t="n"/>
      <c r="JF10" s="48" t="n"/>
      <c r="JG10" s="48" t="n"/>
      <c r="JH10" s="48" t="n"/>
      <c r="JI10" s="48" t="n"/>
      <c r="JJ10" s="48" t="n"/>
      <c r="JK10" s="48" t="n"/>
      <c r="JL10" s="48" t="n"/>
      <c r="JM10" s="48" t="n"/>
      <c r="JN10" s="48" t="n"/>
      <c r="JO10" s="48" t="n"/>
      <c r="JP10" s="48" t="n"/>
      <c r="JQ10" s="48" t="n"/>
      <c r="JR10" s="48" t="n"/>
      <c r="JS10" s="48" t="n"/>
      <c r="JT10" s="48" t="n"/>
      <c r="JU10" s="48" t="n"/>
      <c r="JV10" s="48" t="n"/>
      <c r="JW10" s="48" t="n"/>
      <c r="JX10" s="48" t="n"/>
      <c r="JY10" s="48" t="n"/>
      <c r="JZ10" s="48" t="n"/>
      <c r="KA10" s="48" t="n"/>
      <c r="KB10" s="48" t="n"/>
      <c r="KC10" s="48" t="n"/>
      <c r="KD10" s="48" t="n"/>
      <c r="KE10" s="48" t="n"/>
      <c r="KF10" s="48" t="n"/>
      <c r="KG10" s="48" t="n"/>
      <c r="KH10" s="48" t="n"/>
      <c r="KI10" s="48" t="n"/>
      <c r="KJ10" s="48" t="n"/>
      <c r="KK10" s="48" t="n"/>
      <c r="KL10" s="48" t="n"/>
      <c r="KM10" s="48" t="n"/>
      <c r="KN10" s="48" t="n"/>
      <c r="KO10" s="48" t="n"/>
      <c r="KP10" s="48" t="n"/>
      <c r="KQ10" s="48" t="n"/>
      <c r="KR10" s="48" t="n"/>
      <c r="KS10" s="48" t="n"/>
      <c r="KT10" s="48" t="n"/>
      <c r="KU10" s="48" t="n"/>
      <c r="KV10" s="48" t="n"/>
      <c r="KW10" s="48" t="n"/>
      <c r="KX10" s="48" t="n"/>
      <c r="KY10" s="48" t="n"/>
      <c r="KZ10" s="48" t="n"/>
      <c r="LA10" s="48" t="n"/>
      <c r="LB10" s="48" t="n"/>
      <c r="LC10" s="48" t="n"/>
    </row>
    <row r="11" ht="17" customHeight="1">
      <c r="A11" s="11" t="n">
        <v>5</v>
      </c>
      <c r="B11" s="11" t="inlineStr">
        <is>
          <t>ЮГ-1</t>
        </is>
      </c>
      <c r="C11" s="16">
        <f>'ЮГ-1'!B45</f>
        <v/>
      </c>
      <c r="D11" s="11">
        <f>'ЮГ-1'!C45</f>
        <v/>
      </c>
      <c r="E11" s="11">
        <f>'ЮГ-1'!D45</f>
        <v/>
      </c>
      <c r="F11" s="34">
        <f>'ЮГ-1'!J45</f>
        <v/>
      </c>
      <c r="G11" s="34">
        <f>'ЮГ-1'!G48</f>
        <v/>
      </c>
      <c r="H11" s="34">
        <f>'ЮГ-1'!K45</f>
        <v/>
      </c>
      <c r="I11" s="46">
        <f>'ЮГ-1'!H45</f>
        <v/>
      </c>
      <c r="J11" s="11">
        <f>'ЮГ-1'!L45</f>
        <v/>
      </c>
      <c r="K11" s="11">
        <f>'ЮГ-1'!M45</f>
        <v/>
      </c>
      <c r="L11" s="47">
        <f>'ЮГ-1'!N45</f>
        <v/>
      </c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  <c r="AJ11" s="48" t="n"/>
      <c r="AK11" s="48" t="n"/>
      <c r="AL11" s="48" t="n"/>
      <c r="AM11" s="48" t="n"/>
      <c r="AN11" s="48" t="n"/>
      <c r="AO11" s="48" t="n"/>
      <c r="AP11" s="48" t="n"/>
      <c r="AQ11" s="48" t="n"/>
      <c r="AR11" s="48" t="n"/>
      <c r="AS11" s="48" t="n"/>
      <c r="AT11" s="48" t="n"/>
      <c r="AU11" s="48" t="n"/>
      <c r="AV11" s="48" t="n"/>
      <c r="AW11" s="48" t="n"/>
      <c r="AX11" s="48" t="n"/>
      <c r="AY11" s="48" t="n"/>
      <c r="AZ11" s="48" t="n"/>
      <c r="BA11" s="48" t="n"/>
      <c r="BB11" s="48" t="n"/>
      <c r="BC11" s="48" t="n"/>
      <c r="BD11" s="48" t="n"/>
      <c r="BE11" s="48" t="n"/>
      <c r="BF11" s="48" t="n"/>
      <c r="BG11" s="48" t="n"/>
      <c r="BH11" s="48" t="n"/>
      <c r="BI11" s="48" t="n"/>
      <c r="BJ11" s="48" t="n"/>
      <c r="BK11" s="48" t="n"/>
      <c r="BL11" s="48" t="n"/>
      <c r="BM11" s="48" t="n"/>
      <c r="BN11" s="48" t="n"/>
      <c r="BO11" s="48" t="n"/>
      <c r="BP11" s="48" t="n"/>
      <c r="BQ11" s="48" t="n"/>
      <c r="BR11" s="48" t="n"/>
      <c r="BS11" s="48" t="n"/>
      <c r="BT11" s="48" t="n"/>
      <c r="BU11" s="48" t="n"/>
      <c r="BV11" s="48" t="n"/>
      <c r="BW11" s="48" t="n"/>
      <c r="BX11" s="48" t="n"/>
      <c r="BY11" s="48" t="n"/>
      <c r="BZ11" s="48" t="n"/>
      <c r="CA11" s="48" t="n"/>
      <c r="CB11" s="48" t="n"/>
      <c r="CC11" s="48" t="n"/>
      <c r="CD11" s="48" t="n"/>
      <c r="CE11" s="48" t="n"/>
      <c r="CF11" s="48" t="n"/>
      <c r="CG11" s="48" t="n"/>
      <c r="CH11" s="48" t="n"/>
      <c r="CI11" s="48" t="n"/>
      <c r="CJ11" s="48" t="n"/>
      <c r="CK11" s="48" t="n"/>
      <c r="CL11" s="48" t="n"/>
      <c r="CM11" s="48" t="n"/>
      <c r="CN11" s="48" t="n"/>
      <c r="CO11" s="48" t="n"/>
      <c r="CP11" s="48" t="n"/>
      <c r="CQ11" s="48" t="n"/>
      <c r="CR11" s="48" t="n"/>
      <c r="CS11" s="48" t="n"/>
      <c r="CT11" s="48" t="n"/>
      <c r="CU11" s="48" t="n"/>
      <c r="CV11" s="48" t="n"/>
      <c r="CW11" s="48" t="n"/>
      <c r="CX11" s="48" t="n"/>
      <c r="CY11" s="48" t="n"/>
      <c r="CZ11" s="48" t="n"/>
      <c r="DA11" s="48" t="n"/>
      <c r="DB11" s="48" t="n"/>
      <c r="DC11" s="48" t="n"/>
      <c r="DD11" s="48" t="n"/>
      <c r="DE11" s="48" t="n"/>
      <c r="DF11" s="48" t="n"/>
      <c r="DG11" s="48" t="n"/>
      <c r="DH11" s="48" t="n"/>
      <c r="DI11" s="48" t="n"/>
      <c r="DJ11" s="48" t="n"/>
      <c r="DK11" s="48" t="n"/>
      <c r="DL11" s="48" t="n"/>
      <c r="DM11" s="48" t="n"/>
      <c r="DN11" s="48" t="n"/>
      <c r="DO11" s="48" t="n"/>
      <c r="DP11" s="48" t="n"/>
      <c r="DQ11" s="48" t="n"/>
      <c r="DR11" s="48" t="n"/>
      <c r="DS11" s="48" t="n"/>
      <c r="DT11" s="48" t="n"/>
      <c r="DU11" s="48" t="n"/>
      <c r="DV11" s="48" t="n"/>
      <c r="DW11" s="48" t="n"/>
      <c r="DX11" s="48" t="n"/>
      <c r="DY11" s="48" t="n"/>
      <c r="DZ11" s="48" t="n"/>
      <c r="EA11" s="48" t="n"/>
      <c r="EB11" s="48" t="n"/>
      <c r="EC11" s="48" t="n"/>
      <c r="ED11" s="48" t="n"/>
      <c r="EE11" s="48" t="n"/>
      <c r="EF11" s="48" t="n"/>
      <c r="EG11" s="48" t="n"/>
      <c r="EH11" s="48" t="n"/>
      <c r="EI11" s="48" t="n"/>
      <c r="EJ11" s="48" t="n"/>
      <c r="EK11" s="48" t="n"/>
      <c r="EL11" s="48" t="n"/>
      <c r="EM11" s="48" t="n"/>
      <c r="EN11" s="48" t="n"/>
      <c r="EO11" s="48" t="n"/>
      <c r="EP11" s="48" t="n"/>
      <c r="EQ11" s="48" t="n"/>
      <c r="ER11" s="48" t="n"/>
      <c r="ES11" s="48" t="n"/>
      <c r="ET11" s="48" t="n"/>
      <c r="EU11" s="48" t="n"/>
      <c r="EV11" s="48" t="n"/>
      <c r="EW11" s="48" t="n"/>
      <c r="EX11" s="48" t="n"/>
      <c r="EY11" s="48" t="n"/>
      <c r="EZ11" s="48" t="n"/>
      <c r="FA11" s="48" t="n"/>
      <c r="FB11" s="48" t="n"/>
      <c r="FC11" s="48" t="n"/>
      <c r="FD11" s="48" t="n"/>
      <c r="FE11" s="48" t="n"/>
      <c r="FF11" s="48" t="n"/>
      <c r="FG11" s="48" t="n"/>
      <c r="FH11" s="48" t="n"/>
      <c r="FI11" s="48" t="n"/>
      <c r="FJ11" s="48" t="n"/>
      <c r="FK11" s="48" t="n"/>
      <c r="FL11" s="48" t="n"/>
      <c r="FM11" s="48" t="n"/>
      <c r="FN11" s="48" t="n"/>
      <c r="FO11" s="48" t="n"/>
      <c r="FP11" s="48" t="n"/>
      <c r="FQ11" s="48" t="n"/>
      <c r="FR11" s="48" t="n"/>
      <c r="FS11" s="48" t="n"/>
      <c r="FT11" s="48" t="n"/>
      <c r="FU11" s="48" t="n"/>
      <c r="FV11" s="48" t="n"/>
      <c r="FW11" s="48" t="n"/>
      <c r="FX11" s="48" t="n"/>
      <c r="FY11" s="48" t="n"/>
      <c r="FZ11" s="48" t="n"/>
      <c r="GA11" s="48" t="n"/>
      <c r="GB11" s="48" t="n"/>
      <c r="GC11" s="48" t="n"/>
      <c r="GD11" s="48" t="n"/>
      <c r="GE11" s="48" t="n"/>
      <c r="GF11" s="48" t="n"/>
      <c r="GG11" s="48" t="n"/>
      <c r="GH11" s="48" t="n"/>
      <c r="GI11" s="48" t="n"/>
      <c r="GJ11" s="48" t="n"/>
      <c r="GK11" s="48" t="n"/>
      <c r="GL11" s="48" t="n"/>
      <c r="GM11" s="48" t="n"/>
      <c r="GN11" s="48" t="n"/>
      <c r="GO11" s="48" t="n"/>
      <c r="GP11" s="48" t="n"/>
      <c r="GQ11" s="48" t="n"/>
      <c r="GR11" s="48" t="n"/>
      <c r="GS11" s="48" t="n"/>
      <c r="GT11" s="48" t="n"/>
      <c r="GU11" s="48" t="n"/>
      <c r="GV11" s="48" t="n"/>
      <c r="GW11" s="48" t="n"/>
      <c r="GX11" s="48" t="n"/>
      <c r="GY11" s="48" t="n"/>
      <c r="GZ11" s="48" t="n"/>
      <c r="HA11" s="48" t="n"/>
      <c r="HB11" s="48" t="n"/>
      <c r="HC11" s="48" t="n"/>
      <c r="HD11" s="48" t="n"/>
      <c r="HE11" s="48" t="n"/>
      <c r="HF11" s="48" t="n"/>
      <c r="HG11" s="48" t="n"/>
      <c r="HH11" s="48" t="n"/>
      <c r="HI11" s="48" t="n"/>
      <c r="HJ11" s="48" t="n"/>
      <c r="HK11" s="48" t="n"/>
      <c r="HL11" s="48" t="n"/>
      <c r="HM11" s="48" t="n"/>
      <c r="HN11" s="48" t="n"/>
      <c r="HO11" s="48" t="n"/>
      <c r="HP11" s="48" t="n"/>
      <c r="HQ11" s="48" t="n"/>
      <c r="HR11" s="48" t="n"/>
      <c r="HS11" s="48" t="n"/>
      <c r="HT11" s="48" t="n"/>
      <c r="HU11" s="48" t="n"/>
      <c r="HV11" s="48" t="n"/>
      <c r="HW11" s="48" t="n"/>
      <c r="HX11" s="48" t="n"/>
      <c r="HY11" s="48" t="n"/>
      <c r="HZ11" s="48" t="n"/>
      <c r="IA11" s="48" t="n"/>
      <c r="IB11" s="48" t="n"/>
      <c r="IC11" s="48" t="n"/>
      <c r="ID11" s="48" t="n"/>
      <c r="IE11" s="48" t="n"/>
      <c r="IF11" s="48" t="n"/>
      <c r="IG11" s="48" t="n"/>
      <c r="IH11" s="48" t="n"/>
      <c r="II11" s="48" t="n"/>
      <c r="IJ11" s="48" t="n"/>
      <c r="IK11" s="48" t="n"/>
      <c r="IL11" s="48" t="n"/>
      <c r="IM11" s="48" t="n"/>
      <c r="IN11" s="48" t="n"/>
      <c r="IO11" s="48" t="n"/>
      <c r="IP11" s="48" t="n"/>
      <c r="IQ11" s="48" t="n"/>
      <c r="IR11" s="48" t="n"/>
      <c r="IS11" s="48" t="n"/>
      <c r="IT11" s="48" t="n"/>
      <c r="IU11" s="48" t="n"/>
      <c r="IV11" s="48" t="n"/>
      <c r="IW11" s="48" t="n"/>
      <c r="IX11" s="48" t="n"/>
      <c r="IY11" s="48" t="n"/>
      <c r="IZ11" s="48" t="n"/>
      <c r="JA11" s="48" t="n"/>
      <c r="JB11" s="48" t="n"/>
      <c r="JC11" s="48" t="n"/>
      <c r="JD11" s="48" t="n"/>
      <c r="JE11" s="48" t="n"/>
      <c r="JF11" s="48" t="n"/>
      <c r="JG11" s="48" t="n"/>
      <c r="JH11" s="48" t="n"/>
      <c r="JI11" s="48" t="n"/>
      <c r="JJ11" s="48" t="n"/>
      <c r="JK11" s="48" t="n"/>
      <c r="JL11" s="48" t="n"/>
      <c r="JM11" s="48" t="n"/>
      <c r="JN11" s="48" t="n"/>
      <c r="JO11" s="48" t="n"/>
      <c r="JP11" s="48" t="n"/>
      <c r="JQ11" s="48" t="n"/>
      <c r="JR11" s="48" t="n"/>
      <c r="JS11" s="48" t="n"/>
      <c r="JT11" s="48" t="n"/>
      <c r="JU11" s="48" t="n"/>
      <c r="JV11" s="48" t="n"/>
      <c r="JW11" s="48" t="n"/>
      <c r="JX11" s="48" t="n"/>
      <c r="JY11" s="48" t="n"/>
      <c r="JZ11" s="48" t="n"/>
      <c r="KA11" s="48" t="n"/>
      <c r="KB11" s="48" t="n"/>
      <c r="KC11" s="48" t="n"/>
      <c r="KD11" s="48" t="n"/>
      <c r="KE11" s="48" t="n"/>
      <c r="KF11" s="48" t="n"/>
      <c r="KG11" s="48" t="n"/>
      <c r="KH11" s="48" t="n"/>
      <c r="KI11" s="48" t="n"/>
      <c r="KJ11" s="48" t="n"/>
      <c r="KK11" s="48" t="n"/>
      <c r="KL11" s="48" t="n"/>
      <c r="KM11" s="48" t="n"/>
      <c r="KN11" s="48" t="n"/>
      <c r="KO11" s="48" t="n"/>
      <c r="KP11" s="48" t="n"/>
      <c r="KQ11" s="48" t="n"/>
      <c r="KR11" s="48" t="n"/>
      <c r="KS11" s="48" t="n"/>
      <c r="KT11" s="48" t="n"/>
      <c r="KU11" s="48" t="n"/>
      <c r="KV11" s="48" t="n"/>
      <c r="KW11" s="48" t="n"/>
      <c r="KX11" s="48" t="n"/>
      <c r="KY11" s="48" t="n"/>
      <c r="KZ11" s="48" t="n"/>
      <c r="LA11" s="48" t="n"/>
      <c r="LB11" s="48" t="n"/>
      <c r="LC11" s="48" t="n"/>
    </row>
    <row r="12" ht="17" customHeight="1">
      <c r="A12" s="11" t="n">
        <v>6</v>
      </c>
      <c r="B12" s="11" t="inlineStr">
        <is>
          <t>ЮГ-1</t>
        </is>
      </c>
      <c r="C12" s="16">
        <f>'ЮГ-1'!B55</f>
        <v/>
      </c>
      <c r="D12" s="11">
        <f>'ЮГ-1'!C55</f>
        <v/>
      </c>
      <c r="E12" s="11">
        <f>'ЮГ-1'!D55</f>
        <v/>
      </c>
      <c r="F12" s="34">
        <f>'ЮГ-1'!J55</f>
        <v/>
      </c>
      <c r="G12" s="34">
        <f>'ЮГ-1'!G58</f>
        <v/>
      </c>
      <c r="H12" s="34">
        <f>'ЮГ-1'!K55</f>
        <v/>
      </c>
      <c r="I12" s="46">
        <f>'ЮГ-1'!H55</f>
        <v/>
      </c>
      <c r="J12" s="11">
        <f>'ЮГ-1'!L55</f>
        <v/>
      </c>
      <c r="K12" s="11">
        <f>'ЮГ-1'!M55</f>
        <v/>
      </c>
      <c r="L12" s="47">
        <f>'ЮГ-1'!N55</f>
        <v/>
      </c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48" t="n"/>
      <c r="AI12" s="48" t="n"/>
      <c r="AJ12" s="48" t="n"/>
      <c r="AK12" s="48" t="n"/>
      <c r="AL12" s="48" t="n"/>
      <c r="AM12" s="48" t="n"/>
      <c r="AN12" s="48" t="n"/>
      <c r="AO12" s="48" t="n"/>
      <c r="AP12" s="48" t="n"/>
      <c r="AQ12" s="48" t="n"/>
      <c r="AR12" s="48" t="n"/>
      <c r="AS12" s="48" t="n"/>
      <c r="AT12" s="48" t="n"/>
      <c r="AU12" s="48" t="n"/>
      <c r="AV12" s="48" t="n"/>
      <c r="AW12" s="48" t="n"/>
      <c r="AX12" s="48" t="n"/>
      <c r="AY12" s="48" t="n"/>
      <c r="AZ12" s="48" t="n"/>
      <c r="BA12" s="48" t="n"/>
      <c r="BB12" s="48" t="n"/>
      <c r="BC12" s="48" t="n"/>
      <c r="BD12" s="48" t="n"/>
      <c r="BE12" s="48" t="n"/>
      <c r="BF12" s="48" t="n"/>
      <c r="BG12" s="48" t="n"/>
      <c r="BH12" s="48" t="n"/>
      <c r="BI12" s="48" t="n"/>
      <c r="BJ12" s="48" t="n"/>
      <c r="BK12" s="48" t="n"/>
      <c r="BL12" s="48" t="n"/>
      <c r="BM12" s="48" t="n"/>
      <c r="BN12" s="48" t="n"/>
      <c r="BO12" s="48" t="n"/>
      <c r="BP12" s="48" t="n"/>
      <c r="BQ12" s="48" t="n"/>
      <c r="BR12" s="48" t="n"/>
      <c r="BS12" s="48" t="n"/>
      <c r="BT12" s="48" t="n"/>
      <c r="BU12" s="48" t="n"/>
      <c r="BV12" s="48" t="n"/>
      <c r="BW12" s="48" t="n"/>
      <c r="BX12" s="48" t="n"/>
      <c r="BY12" s="48" t="n"/>
      <c r="BZ12" s="48" t="n"/>
      <c r="CA12" s="48" t="n"/>
      <c r="CB12" s="48" t="n"/>
      <c r="CC12" s="48" t="n"/>
      <c r="CD12" s="48" t="n"/>
      <c r="CE12" s="48" t="n"/>
      <c r="CF12" s="48" t="n"/>
      <c r="CG12" s="48" t="n"/>
      <c r="CH12" s="48" t="n"/>
      <c r="CI12" s="48" t="n"/>
      <c r="CJ12" s="48" t="n"/>
      <c r="CK12" s="48" t="n"/>
      <c r="CL12" s="48" t="n"/>
      <c r="CM12" s="48" t="n"/>
      <c r="CN12" s="48" t="n"/>
      <c r="CO12" s="48" t="n"/>
      <c r="CP12" s="48" t="n"/>
      <c r="CQ12" s="48" t="n"/>
      <c r="CR12" s="48" t="n"/>
      <c r="CS12" s="48" t="n"/>
      <c r="CT12" s="48" t="n"/>
      <c r="CU12" s="48" t="n"/>
      <c r="CV12" s="48" t="n"/>
      <c r="CW12" s="48" t="n"/>
      <c r="CX12" s="48" t="n"/>
      <c r="CY12" s="48" t="n"/>
      <c r="CZ12" s="48" t="n"/>
      <c r="DA12" s="48" t="n"/>
      <c r="DB12" s="48" t="n"/>
      <c r="DC12" s="48" t="n"/>
      <c r="DD12" s="48" t="n"/>
      <c r="DE12" s="48" t="n"/>
      <c r="DF12" s="48" t="n"/>
      <c r="DG12" s="48" t="n"/>
      <c r="DH12" s="48" t="n"/>
      <c r="DI12" s="48" t="n"/>
      <c r="DJ12" s="48" t="n"/>
      <c r="DK12" s="48" t="n"/>
      <c r="DL12" s="48" t="n"/>
      <c r="DM12" s="48" t="n"/>
      <c r="DN12" s="48" t="n"/>
      <c r="DO12" s="48" t="n"/>
      <c r="DP12" s="48" t="n"/>
      <c r="DQ12" s="48" t="n"/>
      <c r="DR12" s="48" t="n"/>
      <c r="DS12" s="48" t="n"/>
      <c r="DT12" s="48" t="n"/>
      <c r="DU12" s="48" t="n"/>
      <c r="DV12" s="48" t="n"/>
      <c r="DW12" s="48" t="n"/>
      <c r="DX12" s="48" t="n"/>
      <c r="DY12" s="48" t="n"/>
      <c r="DZ12" s="48" t="n"/>
      <c r="EA12" s="48" t="n"/>
      <c r="EB12" s="48" t="n"/>
      <c r="EC12" s="48" t="n"/>
      <c r="ED12" s="48" t="n"/>
      <c r="EE12" s="48" t="n"/>
      <c r="EF12" s="48" t="n"/>
      <c r="EG12" s="48" t="n"/>
      <c r="EH12" s="48" t="n"/>
      <c r="EI12" s="48" t="n"/>
      <c r="EJ12" s="48" t="n"/>
      <c r="EK12" s="48" t="n"/>
      <c r="EL12" s="48" t="n"/>
      <c r="EM12" s="48" t="n"/>
      <c r="EN12" s="48" t="n"/>
      <c r="EO12" s="48" t="n"/>
      <c r="EP12" s="48" t="n"/>
      <c r="EQ12" s="48" t="n"/>
      <c r="ER12" s="48" t="n"/>
      <c r="ES12" s="48" t="n"/>
      <c r="ET12" s="48" t="n"/>
      <c r="EU12" s="48" t="n"/>
      <c r="EV12" s="48" t="n"/>
      <c r="EW12" s="48" t="n"/>
      <c r="EX12" s="48" t="n"/>
      <c r="EY12" s="48" t="n"/>
      <c r="EZ12" s="48" t="n"/>
      <c r="FA12" s="48" t="n"/>
      <c r="FB12" s="48" t="n"/>
      <c r="FC12" s="48" t="n"/>
      <c r="FD12" s="48" t="n"/>
      <c r="FE12" s="48" t="n"/>
      <c r="FF12" s="48" t="n"/>
      <c r="FG12" s="48" t="n"/>
      <c r="FH12" s="48" t="n"/>
      <c r="FI12" s="48" t="n"/>
      <c r="FJ12" s="48" t="n"/>
      <c r="FK12" s="48" t="n"/>
      <c r="FL12" s="48" t="n"/>
      <c r="FM12" s="48" t="n"/>
      <c r="FN12" s="48" t="n"/>
      <c r="FO12" s="48" t="n"/>
      <c r="FP12" s="48" t="n"/>
      <c r="FQ12" s="48" t="n"/>
      <c r="FR12" s="48" t="n"/>
      <c r="FS12" s="48" t="n"/>
      <c r="FT12" s="48" t="n"/>
      <c r="FU12" s="48" t="n"/>
      <c r="FV12" s="48" t="n"/>
      <c r="FW12" s="48" t="n"/>
      <c r="FX12" s="48" t="n"/>
      <c r="FY12" s="48" t="n"/>
      <c r="FZ12" s="48" t="n"/>
      <c r="GA12" s="48" t="n"/>
      <c r="GB12" s="48" t="n"/>
      <c r="GC12" s="48" t="n"/>
      <c r="GD12" s="48" t="n"/>
      <c r="GE12" s="48" t="n"/>
      <c r="GF12" s="48" t="n"/>
      <c r="GG12" s="48" t="n"/>
      <c r="GH12" s="48" t="n"/>
      <c r="GI12" s="48" t="n"/>
      <c r="GJ12" s="48" t="n"/>
      <c r="GK12" s="48" t="n"/>
      <c r="GL12" s="48" t="n"/>
      <c r="GM12" s="48" t="n"/>
      <c r="GN12" s="48" t="n"/>
      <c r="GO12" s="48" t="n"/>
      <c r="GP12" s="48" t="n"/>
      <c r="GQ12" s="48" t="n"/>
      <c r="GR12" s="48" t="n"/>
      <c r="GS12" s="48" t="n"/>
      <c r="GT12" s="48" t="n"/>
      <c r="GU12" s="48" t="n"/>
      <c r="GV12" s="48" t="n"/>
      <c r="GW12" s="48" t="n"/>
      <c r="GX12" s="48" t="n"/>
      <c r="GY12" s="48" t="n"/>
      <c r="GZ12" s="48" t="n"/>
      <c r="HA12" s="48" t="n"/>
      <c r="HB12" s="48" t="n"/>
      <c r="HC12" s="48" t="n"/>
      <c r="HD12" s="48" t="n"/>
      <c r="HE12" s="48" t="n"/>
      <c r="HF12" s="48" t="n"/>
      <c r="HG12" s="48" t="n"/>
      <c r="HH12" s="48" t="n"/>
      <c r="HI12" s="48" t="n"/>
      <c r="HJ12" s="48" t="n"/>
      <c r="HK12" s="48" t="n"/>
      <c r="HL12" s="48" t="n"/>
      <c r="HM12" s="48" t="n"/>
      <c r="HN12" s="48" t="n"/>
      <c r="HO12" s="48" t="n"/>
      <c r="HP12" s="48" t="n"/>
      <c r="HQ12" s="48" t="n"/>
      <c r="HR12" s="48" t="n"/>
      <c r="HS12" s="48" t="n"/>
      <c r="HT12" s="48" t="n"/>
      <c r="HU12" s="48" t="n"/>
      <c r="HV12" s="48" t="n"/>
      <c r="HW12" s="48" t="n"/>
      <c r="HX12" s="48" t="n"/>
      <c r="HY12" s="48" t="n"/>
      <c r="HZ12" s="48" t="n"/>
      <c r="IA12" s="48" t="n"/>
      <c r="IB12" s="48" t="n"/>
      <c r="IC12" s="48" t="n"/>
      <c r="ID12" s="48" t="n"/>
      <c r="IE12" s="48" t="n"/>
      <c r="IF12" s="48" t="n"/>
      <c r="IG12" s="48" t="n"/>
      <c r="IH12" s="48" t="n"/>
      <c r="II12" s="48" t="n"/>
      <c r="IJ12" s="48" t="n"/>
      <c r="IK12" s="48" t="n"/>
      <c r="IL12" s="48" t="n"/>
      <c r="IM12" s="48" t="n"/>
      <c r="IN12" s="48" t="n"/>
      <c r="IO12" s="48" t="n"/>
      <c r="IP12" s="48" t="n"/>
      <c r="IQ12" s="48" t="n"/>
      <c r="IR12" s="48" t="n"/>
      <c r="IS12" s="48" t="n"/>
      <c r="IT12" s="48" t="n"/>
      <c r="IU12" s="48" t="n"/>
      <c r="IV12" s="48" t="n"/>
      <c r="IW12" s="48" t="n"/>
      <c r="IX12" s="48" t="n"/>
      <c r="IY12" s="48" t="n"/>
      <c r="IZ12" s="48" t="n"/>
      <c r="JA12" s="48" t="n"/>
      <c r="JB12" s="48" t="n"/>
      <c r="JC12" s="48" t="n"/>
      <c r="JD12" s="48" t="n"/>
      <c r="JE12" s="48" t="n"/>
      <c r="JF12" s="48" t="n"/>
      <c r="JG12" s="48" t="n"/>
      <c r="JH12" s="48" t="n"/>
      <c r="JI12" s="48" t="n"/>
      <c r="JJ12" s="48" t="n"/>
      <c r="JK12" s="48" t="n"/>
      <c r="JL12" s="48" t="n"/>
      <c r="JM12" s="48" t="n"/>
      <c r="JN12" s="48" t="n"/>
      <c r="JO12" s="48" t="n"/>
      <c r="JP12" s="48" t="n"/>
      <c r="JQ12" s="48" t="n"/>
      <c r="JR12" s="48" t="n"/>
      <c r="JS12" s="48" t="n"/>
      <c r="JT12" s="48" t="n"/>
      <c r="JU12" s="48" t="n"/>
      <c r="JV12" s="48" t="n"/>
      <c r="JW12" s="48" t="n"/>
      <c r="JX12" s="48" t="n"/>
      <c r="JY12" s="48" t="n"/>
      <c r="JZ12" s="48" t="n"/>
      <c r="KA12" s="48" t="n"/>
      <c r="KB12" s="48" t="n"/>
      <c r="KC12" s="48" t="n"/>
      <c r="KD12" s="48" t="n"/>
      <c r="KE12" s="48" t="n"/>
      <c r="KF12" s="48" t="n"/>
      <c r="KG12" s="48" t="n"/>
      <c r="KH12" s="48" t="n"/>
      <c r="KI12" s="48" t="n"/>
      <c r="KJ12" s="48" t="n"/>
      <c r="KK12" s="48" t="n"/>
      <c r="KL12" s="48" t="n"/>
      <c r="KM12" s="48" t="n"/>
      <c r="KN12" s="48" t="n"/>
      <c r="KO12" s="48" t="n"/>
      <c r="KP12" s="48" t="n"/>
      <c r="KQ12" s="48" t="n"/>
      <c r="KR12" s="48" t="n"/>
      <c r="KS12" s="48" t="n"/>
      <c r="KT12" s="48" t="n"/>
      <c r="KU12" s="48" t="n"/>
      <c r="KV12" s="48" t="n"/>
      <c r="KW12" s="48" t="n"/>
      <c r="KX12" s="48" t="n"/>
      <c r="KY12" s="48" t="n"/>
      <c r="KZ12" s="48" t="n"/>
      <c r="LA12" s="48" t="n"/>
      <c r="LB12" s="48" t="n"/>
      <c r="LC12" s="48" t="n"/>
    </row>
    <row r="13" ht="17" customHeight="1">
      <c r="A13" s="11" t="n">
        <v>7</v>
      </c>
      <c r="B13" s="11" t="inlineStr">
        <is>
          <t>ЮГ-1</t>
        </is>
      </c>
      <c r="C13" s="16">
        <f>'ЮГ-1'!B65</f>
        <v/>
      </c>
      <c r="D13" s="11">
        <f>'ЮГ-1'!C65</f>
        <v/>
      </c>
      <c r="E13" s="11">
        <f>'ЮГ-1'!D65</f>
        <v/>
      </c>
      <c r="F13" s="34">
        <f>'ЮГ-1'!J65</f>
        <v/>
      </c>
      <c r="G13" s="34">
        <f>'ЮГ-1'!G68</f>
        <v/>
      </c>
      <c r="H13" s="34">
        <f>'ЮГ-1'!K65</f>
        <v/>
      </c>
      <c r="I13" s="46">
        <f>'ЮГ-1'!H65</f>
        <v/>
      </c>
      <c r="J13" s="11">
        <f>'ЮГ-1'!L65</f>
        <v/>
      </c>
      <c r="K13" s="11">
        <f>'ЮГ-1'!M65</f>
        <v/>
      </c>
      <c r="L13" s="47">
        <f>'ЮГ-1'!N65</f>
        <v/>
      </c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8" t="n"/>
      <c r="AL13" s="48" t="n"/>
      <c r="AM13" s="48" t="n"/>
      <c r="AN13" s="48" t="n"/>
      <c r="AO13" s="48" t="n"/>
      <c r="AP13" s="48" t="n"/>
      <c r="AQ13" s="48" t="n"/>
      <c r="AR13" s="48" t="n"/>
      <c r="AS13" s="48" t="n"/>
      <c r="AT13" s="48" t="n"/>
      <c r="AU13" s="48" t="n"/>
      <c r="AV13" s="48" t="n"/>
      <c r="AW13" s="48" t="n"/>
      <c r="AX13" s="48" t="n"/>
      <c r="AY13" s="48" t="n"/>
      <c r="AZ13" s="48" t="n"/>
      <c r="BA13" s="48" t="n"/>
      <c r="BB13" s="48" t="n"/>
      <c r="BC13" s="48" t="n"/>
      <c r="BD13" s="48" t="n"/>
      <c r="BE13" s="48" t="n"/>
      <c r="BF13" s="48" t="n"/>
      <c r="BG13" s="48" t="n"/>
      <c r="BH13" s="48" t="n"/>
      <c r="BI13" s="48" t="n"/>
      <c r="BJ13" s="48" t="n"/>
      <c r="BK13" s="48" t="n"/>
      <c r="BL13" s="48" t="n"/>
      <c r="BM13" s="48" t="n"/>
      <c r="BN13" s="48" t="n"/>
      <c r="BO13" s="48" t="n"/>
      <c r="BP13" s="48" t="n"/>
      <c r="BQ13" s="48" t="n"/>
      <c r="BR13" s="48" t="n"/>
      <c r="BS13" s="48" t="n"/>
      <c r="BT13" s="48" t="n"/>
      <c r="BU13" s="48" t="n"/>
      <c r="BV13" s="48" t="n"/>
      <c r="BW13" s="48" t="n"/>
      <c r="BX13" s="48" t="n"/>
      <c r="BY13" s="48" t="n"/>
      <c r="BZ13" s="48" t="n"/>
      <c r="CA13" s="48" t="n"/>
      <c r="CB13" s="48" t="n"/>
      <c r="CC13" s="48" t="n"/>
      <c r="CD13" s="48" t="n"/>
      <c r="CE13" s="48" t="n"/>
      <c r="CF13" s="48" t="n"/>
      <c r="CG13" s="48" t="n"/>
      <c r="CH13" s="48" t="n"/>
      <c r="CI13" s="48" t="n"/>
      <c r="CJ13" s="48" t="n"/>
      <c r="CK13" s="48" t="n"/>
      <c r="CL13" s="48" t="n"/>
      <c r="CM13" s="48" t="n"/>
      <c r="CN13" s="48" t="n"/>
      <c r="CO13" s="48" t="n"/>
      <c r="CP13" s="48" t="n"/>
      <c r="CQ13" s="48" t="n"/>
      <c r="CR13" s="48" t="n"/>
      <c r="CS13" s="48" t="n"/>
      <c r="CT13" s="48" t="n"/>
      <c r="CU13" s="48" t="n"/>
      <c r="CV13" s="48" t="n"/>
      <c r="CW13" s="48" t="n"/>
      <c r="CX13" s="48" t="n"/>
      <c r="CY13" s="48" t="n"/>
      <c r="CZ13" s="48" t="n"/>
      <c r="DA13" s="48" t="n"/>
      <c r="DB13" s="48" t="n"/>
      <c r="DC13" s="48" t="n"/>
      <c r="DD13" s="48" t="n"/>
      <c r="DE13" s="48" t="n"/>
      <c r="DF13" s="48" t="n"/>
      <c r="DG13" s="48" t="n"/>
      <c r="DH13" s="48" t="n"/>
      <c r="DI13" s="48" t="n"/>
      <c r="DJ13" s="48" t="n"/>
      <c r="DK13" s="48" t="n"/>
      <c r="DL13" s="48" t="n"/>
      <c r="DM13" s="48" t="n"/>
      <c r="DN13" s="48" t="n"/>
      <c r="DO13" s="48" t="n"/>
      <c r="DP13" s="48" t="n"/>
      <c r="DQ13" s="48" t="n"/>
      <c r="DR13" s="48" t="n"/>
      <c r="DS13" s="48" t="n"/>
      <c r="DT13" s="48" t="n"/>
      <c r="DU13" s="48" t="n"/>
      <c r="DV13" s="48" t="n"/>
      <c r="DW13" s="48" t="n"/>
      <c r="DX13" s="48" t="n"/>
      <c r="DY13" s="48" t="n"/>
      <c r="DZ13" s="48" t="n"/>
      <c r="EA13" s="48" t="n"/>
      <c r="EB13" s="48" t="n"/>
      <c r="EC13" s="48" t="n"/>
      <c r="ED13" s="48" t="n"/>
      <c r="EE13" s="48" t="n"/>
      <c r="EF13" s="48" t="n"/>
      <c r="EG13" s="48" t="n"/>
      <c r="EH13" s="48" t="n"/>
      <c r="EI13" s="48" t="n"/>
      <c r="EJ13" s="48" t="n"/>
      <c r="EK13" s="48" t="n"/>
      <c r="EL13" s="48" t="n"/>
      <c r="EM13" s="48" t="n"/>
      <c r="EN13" s="48" t="n"/>
      <c r="EO13" s="48" t="n"/>
      <c r="EP13" s="48" t="n"/>
      <c r="EQ13" s="48" t="n"/>
      <c r="ER13" s="48" t="n"/>
      <c r="ES13" s="48" t="n"/>
      <c r="ET13" s="48" t="n"/>
      <c r="EU13" s="48" t="n"/>
      <c r="EV13" s="48" t="n"/>
      <c r="EW13" s="48" t="n"/>
      <c r="EX13" s="48" t="n"/>
      <c r="EY13" s="48" t="n"/>
      <c r="EZ13" s="48" t="n"/>
      <c r="FA13" s="48" t="n"/>
      <c r="FB13" s="48" t="n"/>
      <c r="FC13" s="48" t="n"/>
      <c r="FD13" s="48" t="n"/>
      <c r="FE13" s="48" t="n"/>
      <c r="FF13" s="48" t="n"/>
      <c r="FG13" s="48" t="n"/>
      <c r="FH13" s="48" t="n"/>
      <c r="FI13" s="48" t="n"/>
      <c r="FJ13" s="48" t="n"/>
      <c r="FK13" s="48" t="n"/>
      <c r="FL13" s="48" t="n"/>
      <c r="FM13" s="48" t="n"/>
      <c r="FN13" s="48" t="n"/>
      <c r="FO13" s="48" t="n"/>
      <c r="FP13" s="48" t="n"/>
      <c r="FQ13" s="48" t="n"/>
      <c r="FR13" s="48" t="n"/>
      <c r="FS13" s="48" t="n"/>
      <c r="FT13" s="48" t="n"/>
      <c r="FU13" s="48" t="n"/>
      <c r="FV13" s="48" t="n"/>
      <c r="FW13" s="48" t="n"/>
      <c r="FX13" s="48" t="n"/>
      <c r="FY13" s="48" t="n"/>
      <c r="FZ13" s="48" t="n"/>
      <c r="GA13" s="48" t="n"/>
      <c r="GB13" s="48" t="n"/>
      <c r="GC13" s="48" t="n"/>
      <c r="GD13" s="48" t="n"/>
      <c r="GE13" s="48" t="n"/>
      <c r="GF13" s="48" t="n"/>
      <c r="GG13" s="48" t="n"/>
      <c r="GH13" s="48" t="n"/>
      <c r="GI13" s="48" t="n"/>
      <c r="GJ13" s="48" t="n"/>
      <c r="GK13" s="48" t="n"/>
      <c r="GL13" s="48" t="n"/>
      <c r="GM13" s="48" t="n"/>
      <c r="GN13" s="48" t="n"/>
      <c r="GO13" s="48" t="n"/>
      <c r="GP13" s="48" t="n"/>
      <c r="GQ13" s="48" t="n"/>
      <c r="GR13" s="48" t="n"/>
      <c r="GS13" s="48" t="n"/>
      <c r="GT13" s="48" t="n"/>
      <c r="GU13" s="48" t="n"/>
      <c r="GV13" s="48" t="n"/>
      <c r="GW13" s="48" t="n"/>
      <c r="GX13" s="48" t="n"/>
      <c r="GY13" s="48" t="n"/>
      <c r="GZ13" s="48" t="n"/>
      <c r="HA13" s="48" t="n"/>
      <c r="HB13" s="48" t="n"/>
      <c r="HC13" s="48" t="n"/>
      <c r="HD13" s="48" t="n"/>
      <c r="HE13" s="48" t="n"/>
      <c r="HF13" s="48" t="n"/>
      <c r="HG13" s="48" t="n"/>
      <c r="HH13" s="48" t="n"/>
      <c r="HI13" s="48" t="n"/>
      <c r="HJ13" s="48" t="n"/>
      <c r="HK13" s="48" t="n"/>
      <c r="HL13" s="48" t="n"/>
      <c r="HM13" s="48" t="n"/>
      <c r="HN13" s="48" t="n"/>
      <c r="HO13" s="48" t="n"/>
      <c r="HP13" s="48" t="n"/>
      <c r="HQ13" s="48" t="n"/>
      <c r="HR13" s="48" t="n"/>
      <c r="HS13" s="48" t="n"/>
      <c r="HT13" s="48" t="n"/>
      <c r="HU13" s="48" t="n"/>
      <c r="HV13" s="48" t="n"/>
      <c r="HW13" s="48" t="n"/>
      <c r="HX13" s="48" t="n"/>
      <c r="HY13" s="48" t="n"/>
      <c r="HZ13" s="48" t="n"/>
      <c r="IA13" s="48" t="n"/>
      <c r="IB13" s="48" t="n"/>
      <c r="IC13" s="48" t="n"/>
      <c r="ID13" s="48" t="n"/>
      <c r="IE13" s="48" t="n"/>
      <c r="IF13" s="48" t="n"/>
      <c r="IG13" s="48" t="n"/>
      <c r="IH13" s="48" t="n"/>
      <c r="II13" s="48" t="n"/>
      <c r="IJ13" s="48" t="n"/>
      <c r="IK13" s="48" t="n"/>
      <c r="IL13" s="48" t="n"/>
      <c r="IM13" s="48" t="n"/>
      <c r="IN13" s="48" t="n"/>
      <c r="IO13" s="48" t="n"/>
      <c r="IP13" s="48" t="n"/>
      <c r="IQ13" s="48" t="n"/>
      <c r="IR13" s="48" t="n"/>
      <c r="IS13" s="48" t="n"/>
      <c r="IT13" s="48" t="n"/>
      <c r="IU13" s="48" t="n"/>
      <c r="IV13" s="48" t="n"/>
      <c r="IW13" s="48" t="n"/>
      <c r="IX13" s="48" t="n"/>
      <c r="IY13" s="48" t="n"/>
      <c r="IZ13" s="48" t="n"/>
      <c r="JA13" s="48" t="n"/>
      <c r="JB13" s="48" t="n"/>
      <c r="JC13" s="48" t="n"/>
      <c r="JD13" s="48" t="n"/>
      <c r="JE13" s="48" t="n"/>
      <c r="JF13" s="48" t="n"/>
      <c r="JG13" s="48" t="n"/>
      <c r="JH13" s="48" t="n"/>
      <c r="JI13" s="48" t="n"/>
      <c r="JJ13" s="48" t="n"/>
      <c r="JK13" s="48" t="n"/>
      <c r="JL13" s="48" t="n"/>
      <c r="JM13" s="48" t="n"/>
      <c r="JN13" s="48" t="n"/>
      <c r="JO13" s="48" t="n"/>
      <c r="JP13" s="48" t="n"/>
      <c r="JQ13" s="48" t="n"/>
      <c r="JR13" s="48" t="n"/>
      <c r="JS13" s="48" t="n"/>
      <c r="JT13" s="48" t="n"/>
      <c r="JU13" s="48" t="n"/>
      <c r="JV13" s="48" t="n"/>
      <c r="JW13" s="48" t="n"/>
      <c r="JX13" s="48" t="n"/>
      <c r="JY13" s="48" t="n"/>
      <c r="JZ13" s="48" t="n"/>
      <c r="KA13" s="48" t="n"/>
      <c r="KB13" s="48" t="n"/>
      <c r="KC13" s="48" t="n"/>
      <c r="KD13" s="48" t="n"/>
      <c r="KE13" s="48" t="n"/>
      <c r="KF13" s="48" t="n"/>
      <c r="KG13" s="48" t="n"/>
      <c r="KH13" s="48" t="n"/>
      <c r="KI13" s="48" t="n"/>
      <c r="KJ13" s="48" t="n"/>
      <c r="KK13" s="48" t="n"/>
      <c r="KL13" s="48" t="n"/>
      <c r="KM13" s="48" t="n"/>
      <c r="KN13" s="48" t="n"/>
      <c r="KO13" s="48" t="n"/>
      <c r="KP13" s="48" t="n"/>
      <c r="KQ13" s="48" t="n"/>
      <c r="KR13" s="48" t="n"/>
      <c r="KS13" s="48" t="n"/>
      <c r="KT13" s="48" t="n"/>
      <c r="KU13" s="48" t="n"/>
      <c r="KV13" s="48" t="n"/>
      <c r="KW13" s="48" t="n"/>
      <c r="KX13" s="48" t="n"/>
      <c r="KY13" s="48" t="n"/>
      <c r="KZ13" s="48" t="n"/>
      <c r="LA13" s="48" t="n"/>
      <c r="LB13" s="48" t="n"/>
      <c r="LC13" s="48" t="n"/>
    </row>
    <row r="14" ht="17" customHeight="1">
      <c r="A14" s="11" t="n">
        <v>8</v>
      </c>
      <c r="B14" s="11" t="inlineStr">
        <is>
          <t>ЮГ-1</t>
        </is>
      </c>
      <c r="C14" s="16">
        <f>'ЮГ-1'!B75</f>
        <v/>
      </c>
      <c r="D14" s="11">
        <f>'ЮГ-1'!C75</f>
        <v/>
      </c>
      <c r="E14" s="11">
        <f>'ЮГ-1'!D75</f>
        <v/>
      </c>
      <c r="F14" s="34">
        <f>'ЮГ-1'!J75</f>
        <v/>
      </c>
      <c r="G14" s="34">
        <f>'ЮГ-1'!G78</f>
        <v/>
      </c>
      <c r="H14" s="34">
        <f>'ЮГ-1'!K75</f>
        <v/>
      </c>
      <c r="I14" s="46">
        <f>'ЮГ-1'!H75</f>
        <v/>
      </c>
      <c r="J14" s="11">
        <f>'ЮГ-1'!L75</f>
        <v/>
      </c>
      <c r="K14" s="11">
        <f>'ЮГ-1'!M75</f>
        <v/>
      </c>
      <c r="L14" s="47">
        <f>'ЮГ-1'!N75</f>
        <v/>
      </c>
      <c r="M14" s="48" t="n"/>
      <c r="N14" s="48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8" t="n"/>
      <c r="AL14" s="48" t="n"/>
      <c r="AM14" s="48" t="n"/>
      <c r="AN14" s="48" t="n"/>
      <c r="AO14" s="48" t="n"/>
      <c r="AP14" s="48" t="n"/>
      <c r="AQ14" s="48" t="n"/>
      <c r="AR14" s="48" t="n"/>
      <c r="AS14" s="48" t="n"/>
      <c r="AT14" s="48" t="n"/>
      <c r="AU14" s="48" t="n"/>
      <c r="AV14" s="48" t="n"/>
      <c r="AW14" s="48" t="n"/>
      <c r="AX14" s="48" t="n"/>
      <c r="AY14" s="48" t="n"/>
      <c r="AZ14" s="48" t="n"/>
      <c r="BA14" s="48" t="n"/>
      <c r="BB14" s="48" t="n"/>
      <c r="BC14" s="48" t="n"/>
      <c r="BD14" s="48" t="n"/>
      <c r="BE14" s="48" t="n"/>
      <c r="BF14" s="48" t="n"/>
      <c r="BG14" s="48" t="n"/>
      <c r="BH14" s="48" t="n"/>
      <c r="BI14" s="48" t="n"/>
      <c r="BJ14" s="48" t="n"/>
      <c r="BK14" s="48" t="n"/>
      <c r="BL14" s="48" t="n"/>
      <c r="BM14" s="48" t="n"/>
      <c r="BN14" s="48" t="n"/>
      <c r="BO14" s="48" t="n"/>
      <c r="BP14" s="48" t="n"/>
      <c r="BQ14" s="48" t="n"/>
      <c r="BR14" s="48" t="n"/>
      <c r="BS14" s="48" t="n"/>
      <c r="BT14" s="48" t="n"/>
      <c r="BU14" s="48" t="n"/>
      <c r="BV14" s="48" t="n"/>
      <c r="BW14" s="48" t="n"/>
      <c r="BX14" s="48" t="n"/>
      <c r="BY14" s="48" t="n"/>
      <c r="BZ14" s="48" t="n"/>
      <c r="CA14" s="48" t="n"/>
      <c r="CB14" s="48" t="n"/>
      <c r="CC14" s="48" t="n"/>
      <c r="CD14" s="48" t="n"/>
      <c r="CE14" s="48" t="n"/>
      <c r="CF14" s="48" t="n"/>
      <c r="CG14" s="48" t="n"/>
      <c r="CH14" s="48" t="n"/>
      <c r="CI14" s="48" t="n"/>
      <c r="CJ14" s="48" t="n"/>
      <c r="CK14" s="48" t="n"/>
      <c r="CL14" s="48" t="n"/>
      <c r="CM14" s="48" t="n"/>
      <c r="CN14" s="48" t="n"/>
      <c r="CO14" s="48" t="n"/>
      <c r="CP14" s="48" t="n"/>
      <c r="CQ14" s="48" t="n"/>
      <c r="CR14" s="48" t="n"/>
      <c r="CS14" s="48" t="n"/>
      <c r="CT14" s="48" t="n"/>
      <c r="CU14" s="48" t="n"/>
      <c r="CV14" s="48" t="n"/>
      <c r="CW14" s="48" t="n"/>
      <c r="CX14" s="48" t="n"/>
      <c r="CY14" s="48" t="n"/>
      <c r="CZ14" s="48" t="n"/>
      <c r="DA14" s="48" t="n"/>
      <c r="DB14" s="48" t="n"/>
      <c r="DC14" s="48" t="n"/>
      <c r="DD14" s="48" t="n"/>
      <c r="DE14" s="48" t="n"/>
      <c r="DF14" s="48" t="n"/>
      <c r="DG14" s="48" t="n"/>
      <c r="DH14" s="48" t="n"/>
      <c r="DI14" s="48" t="n"/>
      <c r="DJ14" s="48" t="n"/>
      <c r="DK14" s="48" t="n"/>
      <c r="DL14" s="48" t="n"/>
      <c r="DM14" s="48" t="n"/>
      <c r="DN14" s="48" t="n"/>
      <c r="DO14" s="48" t="n"/>
      <c r="DP14" s="48" t="n"/>
      <c r="DQ14" s="48" t="n"/>
      <c r="DR14" s="48" t="n"/>
      <c r="DS14" s="48" t="n"/>
      <c r="DT14" s="48" t="n"/>
      <c r="DU14" s="48" t="n"/>
      <c r="DV14" s="48" t="n"/>
      <c r="DW14" s="48" t="n"/>
      <c r="DX14" s="48" t="n"/>
      <c r="DY14" s="48" t="n"/>
      <c r="DZ14" s="48" t="n"/>
      <c r="EA14" s="48" t="n"/>
      <c r="EB14" s="48" t="n"/>
      <c r="EC14" s="48" t="n"/>
      <c r="ED14" s="48" t="n"/>
      <c r="EE14" s="48" t="n"/>
      <c r="EF14" s="48" t="n"/>
      <c r="EG14" s="48" t="n"/>
      <c r="EH14" s="48" t="n"/>
      <c r="EI14" s="48" t="n"/>
      <c r="EJ14" s="48" t="n"/>
      <c r="EK14" s="48" t="n"/>
      <c r="EL14" s="48" t="n"/>
      <c r="EM14" s="48" t="n"/>
      <c r="EN14" s="48" t="n"/>
      <c r="EO14" s="48" t="n"/>
      <c r="EP14" s="48" t="n"/>
      <c r="EQ14" s="48" t="n"/>
      <c r="ER14" s="48" t="n"/>
      <c r="ES14" s="48" t="n"/>
      <c r="ET14" s="48" t="n"/>
      <c r="EU14" s="48" t="n"/>
      <c r="EV14" s="48" t="n"/>
      <c r="EW14" s="48" t="n"/>
      <c r="EX14" s="48" t="n"/>
      <c r="EY14" s="48" t="n"/>
      <c r="EZ14" s="48" t="n"/>
      <c r="FA14" s="48" t="n"/>
      <c r="FB14" s="48" t="n"/>
      <c r="FC14" s="48" t="n"/>
      <c r="FD14" s="48" t="n"/>
      <c r="FE14" s="48" t="n"/>
      <c r="FF14" s="48" t="n"/>
      <c r="FG14" s="48" t="n"/>
      <c r="FH14" s="48" t="n"/>
      <c r="FI14" s="48" t="n"/>
      <c r="FJ14" s="48" t="n"/>
      <c r="FK14" s="48" t="n"/>
      <c r="FL14" s="48" t="n"/>
      <c r="FM14" s="48" t="n"/>
      <c r="FN14" s="48" t="n"/>
      <c r="FO14" s="48" t="n"/>
      <c r="FP14" s="48" t="n"/>
      <c r="FQ14" s="48" t="n"/>
      <c r="FR14" s="48" t="n"/>
      <c r="FS14" s="48" t="n"/>
      <c r="FT14" s="48" t="n"/>
      <c r="FU14" s="48" t="n"/>
      <c r="FV14" s="48" t="n"/>
      <c r="FW14" s="48" t="n"/>
      <c r="FX14" s="48" t="n"/>
      <c r="FY14" s="48" t="n"/>
      <c r="FZ14" s="48" t="n"/>
      <c r="GA14" s="48" t="n"/>
      <c r="GB14" s="48" t="n"/>
      <c r="GC14" s="48" t="n"/>
      <c r="GD14" s="48" t="n"/>
      <c r="GE14" s="48" t="n"/>
      <c r="GF14" s="48" t="n"/>
      <c r="GG14" s="48" t="n"/>
      <c r="GH14" s="48" t="n"/>
      <c r="GI14" s="48" t="n"/>
      <c r="GJ14" s="48" t="n"/>
      <c r="GK14" s="48" t="n"/>
      <c r="GL14" s="48" t="n"/>
      <c r="GM14" s="48" t="n"/>
      <c r="GN14" s="48" t="n"/>
      <c r="GO14" s="48" t="n"/>
      <c r="GP14" s="48" t="n"/>
      <c r="GQ14" s="48" t="n"/>
      <c r="GR14" s="48" t="n"/>
      <c r="GS14" s="48" t="n"/>
      <c r="GT14" s="48" t="n"/>
      <c r="GU14" s="48" t="n"/>
      <c r="GV14" s="48" t="n"/>
      <c r="GW14" s="48" t="n"/>
      <c r="GX14" s="48" t="n"/>
      <c r="GY14" s="48" t="n"/>
      <c r="GZ14" s="48" t="n"/>
      <c r="HA14" s="48" t="n"/>
      <c r="HB14" s="48" t="n"/>
      <c r="HC14" s="48" t="n"/>
      <c r="HD14" s="48" t="n"/>
      <c r="HE14" s="48" t="n"/>
      <c r="HF14" s="48" t="n"/>
      <c r="HG14" s="48" t="n"/>
      <c r="HH14" s="48" t="n"/>
      <c r="HI14" s="48" t="n"/>
      <c r="HJ14" s="48" t="n"/>
      <c r="HK14" s="48" t="n"/>
      <c r="HL14" s="48" t="n"/>
      <c r="HM14" s="48" t="n"/>
      <c r="HN14" s="48" t="n"/>
      <c r="HO14" s="48" t="n"/>
      <c r="HP14" s="48" t="n"/>
      <c r="HQ14" s="48" t="n"/>
      <c r="HR14" s="48" t="n"/>
      <c r="HS14" s="48" t="n"/>
      <c r="HT14" s="48" t="n"/>
      <c r="HU14" s="48" t="n"/>
      <c r="HV14" s="48" t="n"/>
      <c r="HW14" s="48" t="n"/>
      <c r="HX14" s="48" t="n"/>
      <c r="HY14" s="48" t="n"/>
      <c r="HZ14" s="48" t="n"/>
      <c r="IA14" s="48" t="n"/>
      <c r="IB14" s="48" t="n"/>
      <c r="IC14" s="48" t="n"/>
      <c r="ID14" s="48" t="n"/>
      <c r="IE14" s="48" t="n"/>
      <c r="IF14" s="48" t="n"/>
      <c r="IG14" s="48" t="n"/>
      <c r="IH14" s="48" t="n"/>
      <c r="II14" s="48" t="n"/>
      <c r="IJ14" s="48" t="n"/>
      <c r="IK14" s="48" t="n"/>
      <c r="IL14" s="48" t="n"/>
      <c r="IM14" s="48" t="n"/>
      <c r="IN14" s="48" t="n"/>
      <c r="IO14" s="48" t="n"/>
      <c r="IP14" s="48" t="n"/>
      <c r="IQ14" s="48" t="n"/>
      <c r="IR14" s="48" t="n"/>
      <c r="IS14" s="48" t="n"/>
      <c r="IT14" s="48" t="n"/>
      <c r="IU14" s="48" t="n"/>
      <c r="IV14" s="48" t="n"/>
      <c r="IW14" s="48" t="n"/>
      <c r="IX14" s="48" t="n"/>
      <c r="IY14" s="48" t="n"/>
      <c r="IZ14" s="48" t="n"/>
      <c r="JA14" s="48" t="n"/>
      <c r="JB14" s="48" t="n"/>
      <c r="JC14" s="48" t="n"/>
      <c r="JD14" s="48" t="n"/>
      <c r="JE14" s="48" t="n"/>
      <c r="JF14" s="48" t="n"/>
      <c r="JG14" s="48" t="n"/>
      <c r="JH14" s="48" t="n"/>
      <c r="JI14" s="48" t="n"/>
      <c r="JJ14" s="48" t="n"/>
      <c r="JK14" s="48" t="n"/>
      <c r="JL14" s="48" t="n"/>
      <c r="JM14" s="48" t="n"/>
      <c r="JN14" s="48" t="n"/>
      <c r="JO14" s="48" t="n"/>
      <c r="JP14" s="48" t="n"/>
      <c r="JQ14" s="48" t="n"/>
      <c r="JR14" s="48" t="n"/>
      <c r="JS14" s="48" t="n"/>
      <c r="JT14" s="48" t="n"/>
      <c r="JU14" s="48" t="n"/>
      <c r="JV14" s="48" t="n"/>
      <c r="JW14" s="48" t="n"/>
      <c r="JX14" s="48" t="n"/>
      <c r="JY14" s="48" t="n"/>
      <c r="JZ14" s="48" t="n"/>
      <c r="KA14" s="48" t="n"/>
      <c r="KB14" s="48" t="n"/>
      <c r="KC14" s="48" t="n"/>
      <c r="KD14" s="48" t="n"/>
      <c r="KE14" s="48" t="n"/>
      <c r="KF14" s="48" t="n"/>
      <c r="KG14" s="48" t="n"/>
      <c r="KH14" s="48" t="n"/>
      <c r="KI14" s="48" t="n"/>
      <c r="KJ14" s="48" t="n"/>
      <c r="KK14" s="48" t="n"/>
      <c r="KL14" s="48" t="n"/>
      <c r="KM14" s="48" t="n"/>
      <c r="KN14" s="48" t="n"/>
      <c r="KO14" s="48" t="n"/>
      <c r="KP14" s="48" t="n"/>
      <c r="KQ14" s="48" t="n"/>
      <c r="KR14" s="48" t="n"/>
      <c r="KS14" s="48" t="n"/>
      <c r="KT14" s="48" t="n"/>
      <c r="KU14" s="48" t="n"/>
      <c r="KV14" s="48" t="n"/>
      <c r="KW14" s="48" t="n"/>
      <c r="KX14" s="48" t="n"/>
      <c r="KY14" s="48" t="n"/>
      <c r="KZ14" s="48" t="n"/>
      <c r="LA14" s="48" t="n"/>
      <c r="LB14" s="48" t="n"/>
      <c r="LC14" s="48" t="n"/>
    </row>
    <row r="15" ht="17" customHeight="1">
      <c r="A15" s="11" t="n">
        <v>9</v>
      </c>
      <c r="B15" s="11" t="inlineStr">
        <is>
          <t>ЮГ-1</t>
        </is>
      </c>
      <c r="C15" s="16">
        <f>'ЮГ-1'!B85</f>
        <v/>
      </c>
      <c r="D15" s="11">
        <f>'ЮГ-1'!C85</f>
        <v/>
      </c>
      <c r="E15" s="11">
        <f>'ЮГ-1'!D85</f>
        <v/>
      </c>
      <c r="F15" s="34">
        <f>'ЮГ-1'!J85</f>
        <v/>
      </c>
      <c r="G15" s="34">
        <f>'ЮГ-1'!G88</f>
        <v/>
      </c>
      <c r="H15" s="34">
        <f>'ЮГ-1'!K85</f>
        <v/>
      </c>
      <c r="I15" s="46">
        <f>'ЮГ-1'!H85</f>
        <v/>
      </c>
      <c r="J15" s="11">
        <f>'ЮГ-1'!L85</f>
        <v/>
      </c>
      <c r="K15" s="11">
        <f>'ЮГ-1'!M85</f>
        <v/>
      </c>
      <c r="L15" s="47">
        <f>'ЮГ-1'!N85</f>
        <v/>
      </c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8" t="n"/>
      <c r="AL15" s="48" t="n"/>
      <c r="AM15" s="48" t="n"/>
      <c r="AN15" s="48" t="n"/>
      <c r="AO15" s="48" t="n"/>
      <c r="AP15" s="48" t="n"/>
      <c r="AQ15" s="48" t="n"/>
      <c r="AR15" s="48" t="n"/>
      <c r="AS15" s="48" t="n"/>
      <c r="AT15" s="48" t="n"/>
      <c r="AU15" s="48" t="n"/>
      <c r="AV15" s="48" t="n"/>
      <c r="AW15" s="48" t="n"/>
      <c r="AX15" s="48" t="n"/>
      <c r="AY15" s="48" t="n"/>
      <c r="AZ15" s="48" t="n"/>
      <c r="BA15" s="48" t="n"/>
      <c r="BB15" s="48" t="n"/>
      <c r="BC15" s="48" t="n"/>
      <c r="BD15" s="48" t="n"/>
      <c r="BE15" s="48" t="n"/>
      <c r="BF15" s="48" t="n"/>
      <c r="BG15" s="48" t="n"/>
      <c r="BH15" s="48" t="n"/>
      <c r="BI15" s="48" t="n"/>
      <c r="BJ15" s="48" t="n"/>
      <c r="BK15" s="48" t="n"/>
      <c r="BL15" s="48" t="n"/>
      <c r="BM15" s="48" t="n"/>
      <c r="BN15" s="48" t="n"/>
      <c r="BO15" s="48" t="n"/>
      <c r="BP15" s="48" t="n"/>
      <c r="BQ15" s="48" t="n"/>
      <c r="BR15" s="48" t="n"/>
      <c r="BS15" s="48" t="n"/>
      <c r="BT15" s="48" t="n"/>
      <c r="BU15" s="48" t="n"/>
      <c r="BV15" s="48" t="n"/>
      <c r="BW15" s="48" t="n"/>
      <c r="BX15" s="48" t="n"/>
      <c r="BY15" s="48" t="n"/>
      <c r="BZ15" s="48" t="n"/>
      <c r="CA15" s="48" t="n"/>
      <c r="CB15" s="48" t="n"/>
      <c r="CC15" s="48" t="n"/>
      <c r="CD15" s="48" t="n"/>
      <c r="CE15" s="48" t="n"/>
      <c r="CF15" s="48" t="n"/>
      <c r="CG15" s="48" t="n"/>
      <c r="CH15" s="48" t="n"/>
      <c r="CI15" s="48" t="n"/>
      <c r="CJ15" s="48" t="n"/>
      <c r="CK15" s="48" t="n"/>
      <c r="CL15" s="48" t="n"/>
      <c r="CM15" s="48" t="n"/>
      <c r="CN15" s="48" t="n"/>
      <c r="CO15" s="48" t="n"/>
      <c r="CP15" s="48" t="n"/>
      <c r="CQ15" s="48" t="n"/>
      <c r="CR15" s="48" t="n"/>
      <c r="CS15" s="48" t="n"/>
      <c r="CT15" s="48" t="n"/>
      <c r="CU15" s="48" t="n"/>
      <c r="CV15" s="48" t="n"/>
      <c r="CW15" s="48" t="n"/>
      <c r="CX15" s="48" t="n"/>
      <c r="CY15" s="48" t="n"/>
      <c r="CZ15" s="48" t="n"/>
      <c r="DA15" s="48" t="n"/>
      <c r="DB15" s="48" t="n"/>
      <c r="DC15" s="48" t="n"/>
      <c r="DD15" s="48" t="n"/>
      <c r="DE15" s="48" t="n"/>
      <c r="DF15" s="48" t="n"/>
      <c r="DG15" s="48" t="n"/>
      <c r="DH15" s="48" t="n"/>
      <c r="DI15" s="48" t="n"/>
      <c r="DJ15" s="48" t="n"/>
      <c r="DK15" s="48" t="n"/>
      <c r="DL15" s="48" t="n"/>
      <c r="DM15" s="48" t="n"/>
      <c r="DN15" s="48" t="n"/>
      <c r="DO15" s="48" t="n"/>
      <c r="DP15" s="48" t="n"/>
      <c r="DQ15" s="48" t="n"/>
      <c r="DR15" s="48" t="n"/>
      <c r="DS15" s="48" t="n"/>
      <c r="DT15" s="48" t="n"/>
      <c r="DU15" s="48" t="n"/>
      <c r="DV15" s="48" t="n"/>
      <c r="DW15" s="48" t="n"/>
      <c r="DX15" s="48" t="n"/>
      <c r="DY15" s="48" t="n"/>
      <c r="DZ15" s="48" t="n"/>
      <c r="EA15" s="48" t="n"/>
      <c r="EB15" s="48" t="n"/>
      <c r="EC15" s="48" t="n"/>
      <c r="ED15" s="48" t="n"/>
      <c r="EE15" s="48" t="n"/>
      <c r="EF15" s="48" t="n"/>
      <c r="EG15" s="48" t="n"/>
      <c r="EH15" s="48" t="n"/>
      <c r="EI15" s="48" t="n"/>
      <c r="EJ15" s="48" t="n"/>
      <c r="EK15" s="48" t="n"/>
      <c r="EL15" s="48" t="n"/>
      <c r="EM15" s="48" t="n"/>
      <c r="EN15" s="48" t="n"/>
      <c r="EO15" s="48" t="n"/>
      <c r="EP15" s="48" t="n"/>
      <c r="EQ15" s="48" t="n"/>
      <c r="ER15" s="48" t="n"/>
      <c r="ES15" s="48" t="n"/>
      <c r="ET15" s="48" t="n"/>
      <c r="EU15" s="48" t="n"/>
      <c r="EV15" s="48" t="n"/>
      <c r="EW15" s="48" t="n"/>
      <c r="EX15" s="48" t="n"/>
      <c r="EY15" s="48" t="n"/>
      <c r="EZ15" s="48" t="n"/>
      <c r="FA15" s="48" t="n"/>
      <c r="FB15" s="48" t="n"/>
      <c r="FC15" s="48" t="n"/>
      <c r="FD15" s="48" t="n"/>
      <c r="FE15" s="48" t="n"/>
      <c r="FF15" s="48" t="n"/>
      <c r="FG15" s="48" t="n"/>
      <c r="FH15" s="48" t="n"/>
      <c r="FI15" s="48" t="n"/>
      <c r="FJ15" s="48" t="n"/>
      <c r="FK15" s="48" t="n"/>
      <c r="FL15" s="48" t="n"/>
      <c r="FM15" s="48" t="n"/>
      <c r="FN15" s="48" t="n"/>
      <c r="FO15" s="48" t="n"/>
      <c r="FP15" s="48" t="n"/>
      <c r="FQ15" s="48" t="n"/>
      <c r="FR15" s="48" t="n"/>
      <c r="FS15" s="48" t="n"/>
      <c r="FT15" s="48" t="n"/>
      <c r="FU15" s="48" t="n"/>
      <c r="FV15" s="48" t="n"/>
      <c r="FW15" s="48" t="n"/>
      <c r="FX15" s="48" t="n"/>
      <c r="FY15" s="48" t="n"/>
      <c r="FZ15" s="48" t="n"/>
      <c r="GA15" s="48" t="n"/>
      <c r="GB15" s="48" t="n"/>
      <c r="GC15" s="48" t="n"/>
      <c r="GD15" s="48" t="n"/>
      <c r="GE15" s="48" t="n"/>
      <c r="GF15" s="48" t="n"/>
      <c r="GG15" s="48" t="n"/>
      <c r="GH15" s="48" t="n"/>
      <c r="GI15" s="48" t="n"/>
      <c r="GJ15" s="48" t="n"/>
      <c r="GK15" s="48" t="n"/>
      <c r="GL15" s="48" t="n"/>
      <c r="GM15" s="48" t="n"/>
      <c r="GN15" s="48" t="n"/>
      <c r="GO15" s="48" t="n"/>
      <c r="GP15" s="48" t="n"/>
      <c r="GQ15" s="48" t="n"/>
      <c r="GR15" s="48" t="n"/>
      <c r="GS15" s="48" t="n"/>
      <c r="GT15" s="48" t="n"/>
      <c r="GU15" s="48" t="n"/>
      <c r="GV15" s="48" t="n"/>
      <c r="GW15" s="48" t="n"/>
      <c r="GX15" s="48" t="n"/>
      <c r="GY15" s="48" t="n"/>
      <c r="GZ15" s="48" t="n"/>
      <c r="HA15" s="48" t="n"/>
      <c r="HB15" s="48" t="n"/>
      <c r="HC15" s="48" t="n"/>
      <c r="HD15" s="48" t="n"/>
      <c r="HE15" s="48" t="n"/>
      <c r="HF15" s="48" t="n"/>
      <c r="HG15" s="48" t="n"/>
      <c r="HH15" s="48" t="n"/>
      <c r="HI15" s="48" t="n"/>
      <c r="HJ15" s="48" t="n"/>
      <c r="HK15" s="48" t="n"/>
      <c r="HL15" s="48" t="n"/>
      <c r="HM15" s="48" t="n"/>
      <c r="HN15" s="48" t="n"/>
      <c r="HO15" s="48" t="n"/>
      <c r="HP15" s="48" t="n"/>
      <c r="HQ15" s="48" t="n"/>
      <c r="HR15" s="48" t="n"/>
      <c r="HS15" s="48" t="n"/>
      <c r="HT15" s="48" t="n"/>
      <c r="HU15" s="48" t="n"/>
      <c r="HV15" s="48" t="n"/>
      <c r="HW15" s="48" t="n"/>
      <c r="HX15" s="48" t="n"/>
      <c r="HY15" s="48" t="n"/>
      <c r="HZ15" s="48" t="n"/>
      <c r="IA15" s="48" t="n"/>
      <c r="IB15" s="48" t="n"/>
      <c r="IC15" s="48" t="n"/>
      <c r="ID15" s="48" t="n"/>
      <c r="IE15" s="48" t="n"/>
      <c r="IF15" s="48" t="n"/>
      <c r="IG15" s="48" t="n"/>
      <c r="IH15" s="48" t="n"/>
      <c r="II15" s="48" t="n"/>
      <c r="IJ15" s="48" t="n"/>
      <c r="IK15" s="48" t="n"/>
      <c r="IL15" s="48" t="n"/>
      <c r="IM15" s="48" t="n"/>
      <c r="IN15" s="48" t="n"/>
      <c r="IO15" s="48" t="n"/>
      <c r="IP15" s="48" t="n"/>
      <c r="IQ15" s="48" t="n"/>
      <c r="IR15" s="48" t="n"/>
      <c r="IS15" s="48" t="n"/>
      <c r="IT15" s="48" t="n"/>
      <c r="IU15" s="48" t="n"/>
      <c r="IV15" s="48" t="n"/>
      <c r="IW15" s="48" t="n"/>
      <c r="IX15" s="48" t="n"/>
      <c r="IY15" s="48" t="n"/>
      <c r="IZ15" s="48" t="n"/>
      <c r="JA15" s="48" t="n"/>
      <c r="JB15" s="48" t="n"/>
      <c r="JC15" s="48" t="n"/>
      <c r="JD15" s="48" t="n"/>
      <c r="JE15" s="48" t="n"/>
      <c r="JF15" s="48" t="n"/>
      <c r="JG15" s="48" t="n"/>
      <c r="JH15" s="48" t="n"/>
      <c r="JI15" s="48" t="n"/>
      <c r="JJ15" s="48" t="n"/>
      <c r="JK15" s="48" t="n"/>
      <c r="JL15" s="48" t="n"/>
      <c r="JM15" s="48" t="n"/>
      <c r="JN15" s="48" t="n"/>
      <c r="JO15" s="48" t="n"/>
      <c r="JP15" s="48" t="n"/>
      <c r="JQ15" s="48" t="n"/>
      <c r="JR15" s="48" t="n"/>
      <c r="JS15" s="48" t="n"/>
      <c r="JT15" s="48" t="n"/>
      <c r="JU15" s="48" t="n"/>
      <c r="JV15" s="48" t="n"/>
      <c r="JW15" s="48" t="n"/>
      <c r="JX15" s="48" t="n"/>
      <c r="JY15" s="48" t="n"/>
      <c r="JZ15" s="48" t="n"/>
      <c r="KA15" s="48" t="n"/>
      <c r="KB15" s="48" t="n"/>
      <c r="KC15" s="48" t="n"/>
      <c r="KD15" s="48" t="n"/>
      <c r="KE15" s="48" t="n"/>
      <c r="KF15" s="48" t="n"/>
      <c r="KG15" s="48" t="n"/>
      <c r="KH15" s="48" t="n"/>
      <c r="KI15" s="48" t="n"/>
      <c r="KJ15" s="48" t="n"/>
      <c r="KK15" s="48" t="n"/>
      <c r="KL15" s="48" t="n"/>
      <c r="KM15" s="48" t="n"/>
      <c r="KN15" s="48" t="n"/>
      <c r="KO15" s="48" t="n"/>
      <c r="KP15" s="48" t="n"/>
      <c r="KQ15" s="48" t="n"/>
      <c r="KR15" s="48" t="n"/>
      <c r="KS15" s="48" t="n"/>
      <c r="KT15" s="48" t="n"/>
      <c r="KU15" s="48" t="n"/>
      <c r="KV15" s="48" t="n"/>
      <c r="KW15" s="48" t="n"/>
      <c r="KX15" s="48" t="n"/>
      <c r="KY15" s="48" t="n"/>
      <c r="KZ15" s="48" t="n"/>
      <c r="LA15" s="48" t="n"/>
      <c r="LB15" s="48" t="n"/>
      <c r="LC15" s="48" t="n"/>
    </row>
    <row r="16" ht="17" customHeight="1">
      <c r="A16" s="11" t="n">
        <v>10</v>
      </c>
      <c r="B16" s="11" t="inlineStr">
        <is>
          <t>ЮГ-1</t>
        </is>
      </c>
      <c r="C16" s="16">
        <f>'ЮГ-1'!B95</f>
        <v/>
      </c>
      <c r="D16" s="11">
        <f>'ЮГ-1'!C95</f>
        <v/>
      </c>
      <c r="E16" s="11">
        <f>'ЮГ-1'!D95</f>
        <v/>
      </c>
      <c r="F16" s="34">
        <f>'ЮГ-1'!J95</f>
        <v/>
      </c>
      <c r="G16" s="34">
        <f>'ЮГ-1'!G98</f>
        <v/>
      </c>
      <c r="H16" s="34">
        <f>'ЮГ-1'!K95</f>
        <v/>
      </c>
      <c r="I16" s="46">
        <f>'ЮГ-1'!H95</f>
        <v/>
      </c>
      <c r="J16" s="11">
        <f>'ЮГ-1'!L95</f>
        <v/>
      </c>
      <c r="K16" s="11">
        <f>'ЮГ-1'!M95</f>
        <v/>
      </c>
      <c r="L16" s="47">
        <f>'ЮГ-1'!N95</f>
        <v/>
      </c>
      <c r="M16" s="48" t="n"/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8" t="n"/>
      <c r="AL16" s="48" t="n"/>
      <c r="AM16" s="48" t="n"/>
      <c r="AN16" s="48" t="n"/>
      <c r="AO16" s="48" t="n"/>
      <c r="AP16" s="48" t="n"/>
      <c r="AQ16" s="48" t="n"/>
      <c r="AR16" s="48" t="n"/>
      <c r="AS16" s="48" t="n"/>
      <c r="AT16" s="48" t="n"/>
      <c r="AU16" s="48" t="n"/>
      <c r="AV16" s="48" t="n"/>
      <c r="AW16" s="48" t="n"/>
      <c r="AX16" s="48" t="n"/>
      <c r="AY16" s="48" t="n"/>
      <c r="AZ16" s="48" t="n"/>
      <c r="BA16" s="48" t="n"/>
      <c r="BB16" s="48" t="n"/>
      <c r="BC16" s="48" t="n"/>
      <c r="BD16" s="48" t="n"/>
      <c r="BE16" s="48" t="n"/>
      <c r="BF16" s="48" t="n"/>
      <c r="BG16" s="48" t="n"/>
      <c r="BH16" s="48" t="n"/>
      <c r="BI16" s="48" t="n"/>
      <c r="BJ16" s="48" t="n"/>
      <c r="BK16" s="48" t="n"/>
      <c r="BL16" s="48" t="n"/>
      <c r="BM16" s="48" t="n"/>
      <c r="BN16" s="48" t="n"/>
      <c r="BO16" s="48" t="n"/>
      <c r="BP16" s="48" t="n"/>
      <c r="BQ16" s="48" t="n"/>
      <c r="BR16" s="48" t="n"/>
      <c r="BS16" s="48" t="n"/>
      <c r="BT16" s="48" t="n"/>
      <c r="BU16" s="48" t="n"/>
      <c r="BV16" s="48" t="n"/>
      <c r="BW16" s="48" t="n"/>
      <c r="BX16" s="48" t="n"/>
      <c r="BY16" s="48" t="n"/>
      <c r="BZ16" s="48" t="n"/>
      <c r="CA16" s="48" t="n"/>
      <c r="CB16" s="48" t="n"/>
      <c r="CC16" s="48" t="n"/>
      <c r="CD16" s="48" t="n"/>
      <c r="CE16" s="48" t="n"/>
      <c r="CF16" s="48" t="n"/>
      <c r="CG16" s="48" t="n"/>
      <c r="CH16" s="48" t="n"/>
      <c r="CI16" s="48" t="n"/>
      <c r="CJ16" s="48" t="n"/>
      <c r="CK16" s="48" t="n"/>
      <c r="CL16" s="48" t="n"/>
      <c r="CM16" s="48" t="n"/>
      <c r="CN16" s="48" t="n"/>
      <c r="CO16" s="48" t="n"/>
      <c r="CP16" s="48" t="n"/>
      <c r="CQ16" s="48" t="n"/>
      <c r="CR16" s="48" t="n"/>
      <c r="CS16" s="48" t="n"/>
      <c r="CT16" s="48" t="n"/>
      <c r="CU16" s="48" t="n"/>
      <c r="CV16" s="48" t="n"/>
      <c r="CW16" s="48" t="n"/>
      <c r="CX16" s="48" t="n"/>
      <c r="CY16" s="48" t="n"/>
      <c r="CZ16" s="48" t="n"/>
      <c r="DA16" s="48" t="n"/>
      <c r="DB16" s="48" t="n"/>
      <c r="DC16" s="48" t="n"/>
      <c r="DD16" s="48" t="n"/>
      <c r="DE16" s="48" t="n"/>
      <c r="DF16" s="48" t="n"/>
      <c r="DG16" s="48" t="n"/>
      <c r="DH16" s="48" t="n"/>
      <c r="DI16" s="48" t="n"/>
      <c r="DJ16" s="48" t="n"/>
      <c r="DK16" s="48" t="n"/>
      <c r="DL16" s="48" t="n"/>
      <c r="DM16" s="48" t="n"/>
      <c r="DN16" s="48" t="n"/>
      <c r="DO16" s="48" t="n"/>
      <c r="DP16" s="48" t="n"/>
      <c r="DQ16" s="48" t="n"/>
      <c r="DR16" s="48" t="n"/>
      <c r="DS16" s="48" t="n"/>
      <c r="DT16" s="48" t="n"/>
      <c r="DU16" s="48" t="n"/>
      <c r="DV16" s="48" t="n"/>
      <c r="DW16" s="48" t="n"/>
      <c r="DX16" s="48" t="n"/>
      <c r="DY16" s="48" t="n"/>
      <c r="DZ16" s="48" t="n"/>
      <c r="EA16" s="48" t="n"/>
      <c r="EB16" s="48" t="n"/>
      <c r="EC16" s="48" t="n"/>
      <c r="ED16" s="48" t="n"/>
      <c r="EE16" s="48" t="n"/>
      <c r="EF16" s="48" t="n"/>
      <c r="EG16" s="48" t="n"/>
      <c r="EH16" s="48" t="n"/>
      <c r="EI16" s="48" t="n"/>
      <c r="EJ16" s="48" t="n"/>
      <c r="EK16" s="48" t="n"/>
      <c r="EL16" s="48" t="n"/>
      <c r="EM16" s="48" t="n"/>
      <c r="EN16" s="48" t="n"/>
      <c r="EO16" s="48" t="n"/>
      <c r="EP16" s="48" t="n"/>
      <c r="EQ16" s="48" t="n"/>
      <c r="ER16" s="48" t="n"/>
      <c r="ES16" s="48" t="n"/>
      <c r="ET16" s="48" t="n"/>
      <c r="EU16" s="48" t="n"/>
      <c r="EV16" s="48" t="n"/>
      <c r="EW16" s="48" t="n"/>
      <c r="EX16" s="48" t="n"/>
      <c r="EY16" s="48" t="n"/>
      <c r="EZ16" s="48" t="n"/>
      <c r="FA16" s="48" t="n"/>
      <c r="FB16" s="48" t="n"/>
      <c r="FC16" s="48" t="n"/>
      <c r="FD16" s="48" t="n"/>
      <c r="FE16" s="48" t="n"/>
      <c r="FF16" s="48" t="n"/>
      <c r="FG16" s="48" t="n"/>
      <c r="FH16" s="48" t="n"/>
      <c r="FI16" s="48" t="n"/>
      <c r="FJ16" s="48" t="n"/>
      <c r="FK16" s="48" t="n"/>
      <c r="FL16" s="48" t="n"/>
      <c r="FM16" s="48" t="n"/>
      <c r="FN16" s="48" t="n"/>
      <c r="FO16" s="48" t="n"/>
      <c r="FP16" s="48" t="n"/>
      <c r="FQ16" s="48" t="n"/>
      <c r="FR16" s="48" t="n"/>
      <c r="FS16" s="48" t="n"/>
      <c r="FT16" s="48" t="n"/>
      <c r="FU16" s="48" t="n"/>
      <c r="FV16" s="48" t="n"/>
      <c r="FW16" s="48" t="n"/>
      <c r="FX16" s="48" t="n"/>
      <c r="FY16" s="48" t="n"/>
      <c r="FZ16" s="48" t="n"/>
      <c r="GA16" s="48" t="n"/>
      <c r="GB16" s="48" t="n"/>
      <c r="GC16" s="48" t="n"/>
      <c r="GD16" s="48" t="n"/>
      <c r="GE16" s="48" t="n"/>
      <c r="GF16" s="48" t="n"/>
      <c r="GG16" s="48" t="n"/>
      <c r="GH16" s="48" t="n"/>
      <c r="GI16" s="48" t="n"/>
      <c r="GJ16" s="48" t="n"/>
      <c r="GK16" s="48" t="n"/>
      <c r="GL16" s="48" t="n"/>
      <c r="GM16" s="48" t="n"/>
      <c r="GN16" s="48" t="n"/>
      <c r="GO16" s="48" t="n"/>
      <c r="GP16" s="48" t="n"/>
      <c r="GQ16" s="48" t="n"/>
      <c r="GR16" s="48" t="n"/>
      <c r="GS16" s="48" t="n"/>
      <c r="GT16" s="48" t="n"/>
      <c r="GU16" s="48" t="n"/>
      <c r="GV16" s="48" t="n"/>
      <c r="GW16" s="48" t="n"/>
      <c r="GX16" s="48" t="n"/>
      <c r="GY16" s="48" t="n"/>
      <c r="GZ16" s="48" t="n"/>
      <c r="HA16" s="48" t="n"/>
      <c r="HB16" s="48" t="n"/>
      <c r="HC16" s="48" t="n"/>
      <c r="HD16" s="48" t="n"/>
      <c r="HE16" s="48" t="n"/>
      <c r="HF16" s="48" t="n"/>
      <c r="HG16" s="48" t="n"/>
      <c r="HH16" s="48" t="n"/>
      <c r="HI16" s="48" t="n"/>
      <c r="HJ16" s="48" t="n"/>
      <c r="HK16" s="48" t="n"/>
      <c r="HL16" s="48" t="n"/>
      <c r="HM16" s="48" t="n"/>
      <c r="HN16" s="48" t="n"/>
      <c r="HO16" s="48" t="n"/>
      <c r="HP16" s="48" t="n"/>
      <c r="HQ16" s="48" t="n"/>
      <c r="HR16" s="48" t="n"/>
      <c r="HS16" s="48" t="n"/>
      <c r="HT16" s="48" t="n"/>
      <c r="HU16" s="48" t="n"/>
      <c r="HV16" s="48" t="n"/>
      <c r="HW16" s="48" t="n"/>
      <c r="HX16" s="48" t="n"/>
      <c r="HY16" s="48" t="n"/>
      <c r="HZ16" s="48" t="n"/>
      <c r="IA16" s="48" t="n"/>
      <c r="IB16" s="48" t="n"/>
      <c r="IC16" s="48" t="n"/>
      <c r="ID16" s="48" t="n"/>
      <c r="IE16" s="48" t="n"/>
      <c r="IF16" s="48" t="n"/>
      <c r="IG16" s="48" t="n"/>
      <c r="IH16" s="48" t="n"/>
      <c r="II16" s="48" t="n"/>
      <c r="IJ16" s="48" t="n"/>
      <c r="IK16" s="48" t="n"/>
      <c r="IL16" s="48" t="n"/>
      <c r="IM16" s="48" t="n"/>
      <c r="IN16" s="48" t="n"/>
      <c r="IO16" s="48" t="n"/>
      <c r="IP16" s="48" t="n"/>
      <c r="IQ16" s="48" t="n"/>
      <c r="IR16" s="48" t="n"/>
      <c r="IS16" s="48" t="n"/>
      <c r="IT16" s="48" t="n"/>
      <c r="IU16" s="48" t="n"/>
      <c r="IV16" s="48" t="n"/>
      <c r="IW16" s="48" t="n"/>
      <c r="IX16" s="48" t="n"/>
      <c r="IY16" s="48" t="n"/>
      <c r="IZ16" s="48" t="n"/>
      <c r="JA16" s="48" t="n"/>
      <c r="JB16" s="48" t="n"/>
      <c r="JC16" s="48" t="n"/>
      <c r="JD16" s="48" t="n"/>
      <c r="JE16" s="48" t="n"/>
      <c r="JF16" s="48" t="n"/>
      <c r="JG16" s="48" t="n"/>
      <c r="JH16" s="48" t="n"/>
      <c r="JI16" s="48" t="n"/>
      <c r="JJ16" s="48" t="n"/>
      <c r="JK16" s="48" t="n"/>
      <c r="JL16" s="48" t="n"/>
      <c r="JM16" s="48" t="n"/>
      <c r="JN16" s="48" t="n"/>
      <c r="JO16" s="48" t="n"/>
      <c r="JP16" s="48" t="n"/>
      <c r="JQ16" s="48" t="n"/>
      <c r="JR16" s="48" t="n"/>
      <c r="JS16" s="48" t="n"/>
      <c r="JT16" s="48" t="n"/>
      <c r="JU16" s="48" t="n"/>
      <c r="JV16" s="48" t="n"/>
      <c r="JW16" s="48" t="n"/>
      <c r="JX16" s="48" t="n"/>
      <c r="JY16" s="48" t="n"/>
      <c r="JZ16" s="48" t="n"/>
      <c r="KA16" s="48" t="n"/>
      <c r="KB16" s="48" t="n"/>
      <c r="KC16" s="48" t="n"/>
      <c r="KD16" s="48" t="n"/>
      <c r="KE16" s="48" t="n"/>
      <c r="KF16" s="48" t="n"/>
      <c r="KG16" s="48" t="n"/>
      <c r="KH16" s="48" t="n"/>
      <c r="KI16" s="48" t="n"/>
      <c r="KJ16" s="48" t="n"/>
      <c r="KK16" s="48" t="n"/>
      <c r="KL16" s="48" t="n"/>
      <c r="KM16" s="48" t="n"/>
      <c r="KN16" s="48" t="n"/>
      <c r="KO16" s="48" t="n"/>
      <c r="KP16" s="48" t="n"/>
      <c r="KQ16" s="48" t="n"/>
      <c r="KR16" s="48" t="n"/>
      <c r="KS16" s="48" t="n"/>
      <c r="KT16" s="48" t="n"/>
      <c r="KU16" s="48" t="n"/>
      <c r="KV16" s="48" t="n"/>
      <c r="KW16" s="48" t="n"/>
      <c r="KX16" s="48" t="n"/>
      <c r="KY16" s="48" t="n"/>
      <c r="KZ16" s="48" t="n"/>
      <c r="LA16" s="48" t="n"/>
      <c r="LB16" s="48" t="n"/>
      <c r="LC16" s="48" t="n"/>
    </row>
    <row r="17" ht="17" customHeight="1">
      <c r="A17" s="11" t="n">
        <v>11</v>
      </c>
      <c r="B17" s="11" t="inlineStr">
        <is>
          <t>ЮГ-1</t>
        </is>
      </c>
      <c r="C17" s="16">
        <f>'ЮГ-1'!B105</f>
        <v/>
      </c>
      <c r="D17" s="11">
        <f>'ЮГ-1'!C105</f>
        <v/>
      </c>
      <c r="E17" s="11">
        <f>'ЮГ-1'!D105</f>
        <v/>
      </c>
      <c r="F17" s="34">
        <f>'ЮГ-1'!J105</f>
        <v/>
      </c>
      <c r="G17" s="34">
        <f>'ЮГ-1'!G108</f>
        <v/>
      </c>
      <c r="H17" s="34">
        <f>'ЮГ-1'!K105</f>
        <v/>
      </c>
      <c r="I17" s="46">
        <f>'ЮГ-1'!H105</f>
        <v/>
      </c>
      <c r="J17" s="11">
        <f>'ЮГ-1'!L105</f>
        <v/>
      </c>
      <c r="K17" s="11">
        <f>'ЮГ-1'!M105</f>
        <v/>
      </c>
      <c r="L17" s="47">
        <f>'ЮГ-1'!N105</f>
        <v/>
      </c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8" t="n"/>
      <c r="AL17" s="48" t="n"/>
      <c r="AM17" s="48" t="n"/>
      <c r="AN17" s="48" t="n"/>
      <c r="AO17" s="48" t="n"/>
      <c r="AP17" s="48" t="n"/>
      <c r="AQ17" s="48" t="n"/>
      <c r="AR17" s="48" t="n"/>
      <c r="AS17" s="48" t="n"/>
      <c r="AT17" s="48" t="n"/>
      <c r="AU17" s="48" t="n"/>
      <c r="AV17" s="48" t="n"/>
      <c r="AW17" s="48" t="n"/>
      <c r="AX17" s="48" t="n"/>
      <c r="AY17" s="48" t="n"/>
      <c r="AZ17" s="48" t="n"/>
      <c r="BA17" s="48" t="n"/>
      <c r="BB17" s="48" t="n"/>
      <c r="BC17" s="48" t="n"/>
      <c r="BD17" s="48" t="n"/>
      <c r="BE17" s="48" t="n"/>
      <c r="BF17" s="48" t="n"/>
      <c r="BG17" s="48" t="n"/>
      <c r="BH17" s="48" t="n"/>
      <c r="BI17" s="48" t="n"/>
      <c r="BJ17" s="48" t="n"/>
      <c r="BK17" s="48" t="n"/>
      <c r="BL17" s="48" t="n"/>
      <c r="BM17" s="48" t="n"/>
      <c r="BN17" s="48" t="n"/>
      <c r="BO17" s="48" t="n"/>
      <c r="BP17" s="48" t="n"/>
      <c r="BQ17" s="48" t="n"/>
      <c r="BR17" s="48" t="n"/>
      <c r="BS17" s="48" t="n"/>
      <c r="BT17" s="48" t="n"/>
      <c r="BU17" s="48" t="n"/>
      <c r="BV17" s="48" t="n"/>
      <c r="BW17" s="48" t="n"/>
      <c r="BX17" s="48" t="n"/>
      <c r="BY17" s="48" t="n"/>
      <c r="BZ17" s="48" t="n"/>
      <c r="CA17" s="48" t="n"/>
      <c r="CB17" s="48" t="n"/>
      <c r="CC17" s="48" t="n"/>
      <c r="CD17" s="48" t="n"/>
      <c r="CE17" s="48" t="n"/>
      <c r="CF17" s="48" t="n"/>
      <c r="CG17" s="48" t="n"/>
      <c r="CH17" s="48" t="n"/>
      <c r="CI17" s="48" t="n"/>
      <c r="CJ17" s="48" t="n"/>
      <c r="CK17" s="48" t="n"/>
      <c r="CL17" s="48" t="n"/>
      <c r="CM17" s="48" t="n"/>
      <c r="CN17" s="48" t="n"/>
      <c r="CO17" s="48" t="n"/>
      <c r="CP17" s="48" t="n"/>
      <c r="CQ17" s="48" t="n"/>
      <c r="CR17" s="48" t="n"/>
      <c r="CS17" s="48" t="n"/>
      <c r="CT17" s="48" t="n"/>
      <c r="CU17" s="48" t="n"/>
      <c r="CV17" s="48" t="n"/>
      <c r="CW17" s="48" t="n"/>
      <c r="CX17" s="48" t="n"/>
      <c r="CY17" s="48" t="n"/>
      <c r="CZ17" s="48" t="n"/>
      <c r="DA17" s="48" t="n"/>
      <c r="DB17" s="48" t="n"/>
      <c r="DC17" s="48" t="n"/>
      <c r="DD17" s="48" t="n"/>
      <c r="DE17" s="48" t="n"/>
      <c r="DF17" s="48" t="n"/>
      <c r="DG17" s="48" t="n"/>
      <c r="DH17" s="48" t="n"/>
      <c r="DI17" s="48" t="n"/>
      <c r="DJ17" s="48" t="n"/>
      <c r="DK17" s="48" t="n"/>
      <c r="DL17" s="48" t="n"/>
      <c r="DM17" s="48" t="n"/>
      <c r="DN17" s="48" t="n"/>
      <c r="DO17" s="48" t="n"/>
      <c r="DP17" s="48" t="n"/>
      <c r="DQ17" s="48" t="n"/>
      <c r="DR17" s="48" t="n"/>
      <c r="DS17" s="48" t="n"/>
      <c r="DT17" s="48" t="n"/>
      <c r="DU17" s="48" t="n"/>
      <c r="DV17" s="48" t="n"/>
      <c r="DW17" s="48" t="n"/>
      <c r="DX17" s="48" t="n"/>
      <c r="DY17" s="48" t="n"/>
      <c r="DZ17" s="48" t="n"/>
      <c r="EA17" s="48" t="n"/>
      <c r="EB17" s="48" t="n"/>
      <c r="EC17" s="48" t="n"/>
      <c r="ED17" s="48" t="n"/>
      <c r="EE17" s="48" t="n"/>
      <c r="EF17" s="48" t="n"/>
      <c r="EG17" s="48" t="n"/>
      <c r="EH17" s="48" t="n"/>
      <c r="EI17" s="48" t="n"/>
      <c r="EJ17" s="48" t="n"/>
      <c r="EK17" s="48" t="n"/>
      <c r="EL17" s="48" t="n"/>
      <c r="EM17" s="48" t="n"/>
      <c r="EN17" s="48" t="n"/>
      <c r="EO17" s="48" t="n"/>
      <c r="EP17" s="48" t="n"/>
      <c r="EQ17" s="48" t="n"/>
      <c r="ER17" s="48" t="n"/>
      <c r="ES17" s="48" t="n"/>
      <c r="ET17" s="48" t="n"/>
      <c r="EU17" s="48" t="n"/>
      <c r="EV17" s="48" t="n"/>
      <c r="EW17" s="48" t="n"/>
      <c r="EX17" s="48" t="n"/>
      <c r="EY17" s="48" t="n"/>
      <c r="EZ17" s="48" t="n"/>
      <c r="FA17" s="48" t="n"/>
      <c r="FB17" s="48" t="n"/>
      <c r="FC17" s="48" t="n"/>
      <c r="FD17" s="48" t="n"/>
      <c r="FE17" s="48" t="n"/>
      <c r="FF17" s="48" t="n"/>
      <c r="FG17" s="48" t="n"/>
      <c r="FH17" s="48" t="n"/>
      <c r="FI17" s="48" t="n"/>
      <c r="FJ17" s="48" t="n"/>
      <c r="FK17" s="48" t="n"/>
      <c r="FL17" s="48" t="n"/>
      <c r="FM17" s="48" t="n"/>
      <c r="FN17" s="48" t="n"/>
      <c r="FO17" s="48" t="n"/>
      <c r="FP17" s="48" t="n"/>
      <c r="FQ17" s="48" t="n"/>
      <c r="FR17" s="48" t="n"/>
      <c r="FS17" s="48" t="n"/>
      <c r="FT17" s="48" t="n"/>
      <c r="FU17" s="48" t="n"/>
      <c r="FV17" s="48" t="n"/>
      <c r="FW17" s="48" t="n"/>
      <c r="FX17" s="48" t="n"/>
      <c r="FY17" s="48" t="n"/>
      <c r="FZ17" s="48" t="n"/>
      <c r="GA17" s="48" t="n"/>
      <c r="GB17" s="48" t="n"/>
      <c r="GC17" s="48" t="n"/>
      <c r="GD17" s="48" t="n"/>
      <c r="GE17" s="48" t="n"/>
      <c r="GF17" s="48" t="n"/>
      <c r="GG17" s="48" t="n"/>
      <c r="GH17" s="48" t="n"/>
      <c r="GI17" s="48" t="n"/>
      <c r="GJ17" s="48" t="n"/>
      <c r="GK17" s="48" t="n"/>
      <c r="GL17" s="48" t="n"/>
      <c r="GM17" s="48" t="n"/>
      <c r="GN17" s="48" t="n"/>
      <c r="GO17" s="48" t="n"/>
      <c r="GP17" s="48" t="n"/>
      <c r="GQ17" s="48" t="n"/>
      <c r="GR17" s="48" t="n"/>
      <c r="GS17" s="48" t="n"/>
      <c r="GT17" s="48" t="n"/>
      <c r="GU17" s="48" t="n"/>
      <c r="GV17" s="48" t="n"/>
      <c r="GW17" s="48" t="n"/>
      <c r="GX17" s="48" t="n"/>
      <c r="GY17" s="48" t="n"/>
      <c r="GZ17" s="48" t="n"/>
      <c r="HA17" s="48" t="n"/>
      <c r="HB17" s="48" t="n"/>
      <c r="HC17" s="48" t="n"/>
      <c r="HD17" s="48" t="n"/>
      <c r="HE17" s="48" t="n"/>
      <c r="HF17" s="48" t="n"/>
      <c r="HG17" s="48" t="n"/>
      <c r="HH17" s="48" t="n"/>
      <c r="HI17" s="48" t="n"/>
      <c r="HJ17" s="48" t="n"/>
      <c r="HK17" s="48" t="n"/>
      <c r="HL17" s="48" t="n"/>
      <c r="HM17" s="48" t="n"/>
      <c r="HN17" s="48" t="n"/>
      <c r="HO17" s="48" t="n"/>
      <c r="HP17" s="48" t="n"/>
      <c r="HQ17" s="48" t="n"/>
      <c r="HR17" s="48" t="n"/>
      <c r="HS17" s="48" t="n"/>
      <c r="HT17" s="48" t="n"/>
      <c r="HU17" s="48" t="n"/>
      <c r="HV17" s="48" t="n"/>
      <c r="HW17" s="48" t="n"/>
      <c r="HX17" s="48" t="n"/>
      <c r="HY17" s="48" t="n"/>
      <c r="HZ17" s="48" t="n"/>
      <c r="IA17" s="48" t="n"/>
      <c r="IB17" s="48" t="n"/>
      <c r="IC17" s="48" t="n"/>
      <c r="ID17" s="48" t="n"/>
      <c r="IE17" s="48" t="n"/>
      <c r="IF17" s="48" t="n"/>
      <c r="IG17" s="48" t="n"/>
      <c r="IH17" s="48" t="n"/>
      <c r="II17" s="48" t="n"/>
      <c r="IJ17" s="48" t="n"/>
      <c r="IK17" s="48" t="n"/>
      <c r="IL17" s="48" t="n"/>
      <c r="IM17" s="48" t="n"/>
      <c r="IN17" s="48" t="n"/>
      <c r="IO17" s="48" t="n"/>
      <c r="IP17" s="48" t="n"/>
      <c r="IQ17" s="48" t="n"/>
      <c r="IR17" s="48" t="n"/>
      <c r="IS17" s="48" t="n"/>
      <c r="IT17" s="48" t="n"/>
      <c r="IU17" s="48" t="n"/>
      <c r="IV17" s="48" t="n"/>
      <c r="IW17" s="48" t="n"/>
      <c r="IX17" s="48" t="n"/>
      <c r="IY17" s="48" t="n"/>
      <c r="IZ17" s="48" t="n"/>
      <c r="JA17" s="48" t="n"/>
      <c r="JB17" s="48" t="n"/>
      <c r="JC17" s="48" t="n"/>
      <c r="JD17" s="48" t="n"/>
      <c r="JE17" s="48" t="n"/>
      <c r="JF17" s="48" t="n"/>
      <c r="JG17" s="48" t="n"/>
      <c r="JH17" s="48" t="n"/>
      <c r="JI17" s="48" t="n"/>
      <c r="JJ17" s="48" t="n"/>
      <c r="JK17" s="48" t="n"/>
      <c r="JL17" s="48" t="n"/>
      <c r="JM17" s="48" t="n"/>
      <c r="JN17" s="48" t="n"/>
      <c r="JO17" s="48" t="n"/>
      <c r="JP17" s="48" t="n"/>
      <c r="JQ17" s="48" t="n"/>
      <c r="JR17" s="48" t="n"/>
      <c r="JS17" s="48" t="n"/>
      <c r="JT17" s="48" t="n"/>
      <c r="JU17" s="48" t="n"/>
      <c r="JV17" s="48" t="n"/>
      <c r="JW17" s="48" t="n"/>
      <c r="JX17" s="48" t="n"/>
      <c r="JY17" s="48" t="n"/>
      <c r="JZ17" s="48" t="n"/>
      <c r="KA17" s="48" t="n"/>
      <c r="KB17" s="48" t="n"/>
      <c r="KC17" s="48" t="n"/>
      <c r="KD17" s="48" t="n"/>
      <c r="KE17" s="48" t="n"/>
      <c r="KF17" s="48" t="n"/>
      <c r="KG17" s="48" t="n"/>
      <c r="KH17" s="48" t="n"/>
      <c r="KI17" s="48" t="n"/>
      <c r="KJ17" s="48" t="n"/>
      <c r="KK17" s="48" t="n"/>
      <c r="KL17" s="48" t="n"/>
      <c r="KM17" s="48" t="n"/>
      <c r="KN17" s="48" t="n"/>
      <c r="KO17" s="48" t="n"/>
      <c r="KP17" s="48" t="n"/>
      <c r="KQ17" s="48" t="n"/>
      <c r="KR17" s="48" t="n"/>
      <c r="KS17" s="48" t="n"/>
      <c r="KT17" s="48" t="n"/>
      <c r="KU17" s="48" t="n"/>
      <c r="KV17" s="48" t="n"/>
      <c r="KW17" s="48" t="n"/>
      <c r="KX17" s="48" t="n"/>
      <c r="KY17" s="48" t="n"/>
      <c r="KZ17" s="48" t="n"/>
      <c r="LA17" s="48" t="n"/>
      <c r="LB17" s="48" t="n"/>
      <c r="LC17" s="48" t="n"/>
    </row>
    <row r="18" ht="17" customHeight="1">
      <c r="A18" s="11" t="n">
        <v>12</v>
      </c>
      <c r="B18" s="11" t="inlineStr">
        <is>
          <t>ЮГ-1</t>
        </is>
      </c>
      <c r="C18" s="16">
        <f>'ЮГ-1'!B115</f>
        <v/>
      </c>
      <c r="D18" s="11">
        <f>'ЮГ-1'!C115</f>
        <v/>
      </c>
      <c r="E18" s="11">
        <f>'ЮГ-1'!D115</f>
        <v/>
      </c>
      <c r="F18" s="34">
        <f>'ЮГ-1'!J115</f>
        <v/>
      </c>
      <c r="G18" s="34">
        <f>'ЮГ-1'!G118</f>
        <v/>
      </c>
      <c r="H18" s="34">
        <f>'ЮГ-1'!K115</f>
        <v/>
      </c>
      <c r="I18" s="46">
        <f>'ЮГ-1'!H115</f>
        <v/>
      </c>
      <c r="J18" s="11">
        <f>'ЮГ-1'!L115</f>
        <v/>
      </c>
      <c r="K18" s="11">
        <f>'ЮГ-1'!M115</f>
        <v/>
      </c>
      <c r="L18" s="47">
        <f>'ЮГ-1'!N115</f>
        <v/>
      </c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8" t="n"/>
      <c r="AL18" s="48" t="n"/>
      <c r="AM18" s="48" t="n"/>
      <c r="AN18" s="48" t="n"/>
      <c r="AO18" s="48" t="n"/>
      <c r="AP18" s="48" t="n"/>
      <c r="AQ18" s="48" t="n"/>
      <c r="AR18" s="48" t="n"/>
      <c r="AS18" s="48" t="n"/>
      <c r="AT18" s="48" t="n"/>
      <c r="AU18" s="48" t="n"/>
      <c r="AV18" s="48" t="n"/>
      <c r="AW18" s="48" t="n"/>
      <c r="AX18" s="48" t="n"/>
      <c r="AY18" s="48" t="n"/>
      <c r="AZ18" s="48" t="n"/>
      <c r="BA18" s="48" t="n"/>
      <c r="BB18" s="48" t="n"/>
      <c r="BC18" s="48" t="n"/>
      <c r="BD18" s="48" t="n"/>
      <c r="BE18" s="48" t="n"/>
      <c r="BF18" s="48" t="n"/>
      <c r="BG18" s="48" t="n"/>
      <c r="BH18" s="48" t="n"/>
      <c r="BI18" s="48" t="n"/>
      <c r="BJ18" s="48" t="n"/>
      <c r="BK18" s="48" t="n"/>
      <c r="BL18" s="48" t="n"/>
      <c r="BM18" s="48" t="n"/>
      <c r="BN18" s="48" t="n"/>
      <c r="BO18" s="48" t="n"/>
      <c r="BP18" s="48" t="n"/>
      <c r="BQ18" s="48" t="n"/>
      <c r="BR18" s="48" t="n"/>
      <c r="BS18" s="48" t="n"/>
      <c r="BT18" s="48" t="n"/>
      <c r="BU18" s="48" t="n"/>
      <c r="BV18" s="48" t="n"/>
      <c r="BW18" s="48" t="n"/>
      <c r="BX18" s="48" t="n"/>
      <c r="BY18" s="48" t="n"/>
      <c r="BZ18" s="48" t="n"/>
      <c r="CA18" s="48" t="n"/>
      <c r="CB18" s="48" t="n"/>
      <c r="CC18" s="48" t="n"/>
      <c r="CD18" s="48" t="n"/>
      <c r="CE18" s="48" t="n"/>
      <c r="CF18" s="48" t="n"/>
      <c r="CG18" s="48" t="n"/>
      <c r="CH18" s="48" t="n"/>
      <c r="CI18" s="48" t="n"/>
      <c r="CJ18" s="48" t="n"/>
      <c r="CK18" s="48" t="n"/>
      <c r="CL18" s="48" t="n"/>
      <c r="CM18" s="48" t="n"/>
      <c r="CN18" s="48" t="n"/>
      <c r="CO18" s="48" t="n"/>
      <c r="CP18" s="48" t="n"/>
      <c r="CQ18" s="48" t="n"/>
      <c r="CR18" s="48" t="n"/>
      <c r="CS18" s="48" t="n"/>
      <c r="CT18" s="48" t="n"/>
      <c r="CU18" s="48" t="n"/>
      <c r="CV18" s="48" t="n"/>
      <c r="CW18" s="48" t="n"/>
      <c r="CX18" s="48" t="n"/>
      <c r="CY18" s="48" t="n"/>
      <c r="CZ18" s="48" t="n"/>
      <c r="DA18" s="48" t="n"/>
      <c r="DB18" s="48" t="n"/>
      <c r="DC18" s="48" t="n"/>
      <c r="DD18" s="48" t="n"/>
      <c r="DE18" s="48" t="n"/>
      <c r="DF18" s="48" t="n"/>
      <c r="DG18" s="48" t="n"/>
      <c r="DH18" s="48" t="n"/>
      <c r="DI18" s="48" t="n"/>
      <c r="DJ18" s="48" t="n"/>
      <c r="DK18" s="48" t="n"/>
      <c r="DL18" s="48" t="n"/>
      <c r="DM18" s="48" t="n"/>
      <c r="DN18" s="48" t="n"/>
      <c r="DO18" s="48" t="n"/>
      <c r="DP18" s="48" t="n"/>
      <c r="DQ18" s="48" t="n"/>
      <c r="DR18" s="48" t="n"/>
      <c r="DS18" s="48" t="n"/>
      <c r="DT18" s="48" t="n"/>
      <c r="DU18" s="48" t="n"/>
      <c r="DV18" s="48" t="n"/>
      <c r="DW18" s="48" t="n"/>
      <c r="DX18" s="48" t="n"/>
      <c r="DY18" s="48" t="n"/>
      <c r="DZ18" s="48" t="n"/>
      <c r="EA18" s="48" t="n"/>
      <c r="EB18" s="48" t="n"/>
      <c r="EC18" s="48" t="n"/>
      <c r="ED18" s="48" t="n"/>
      <c r="EE18" s="48" t="n"/>
      <c r="EF18" s="48" t="n"/>
      <c r="EG18" s="48" t="n"/>
      <c r="EH18" s="48" t="n"/>
      <c r="EI18" s="48" t="n"/>
      <c r="EJ18" s="48" t="n"/>
      <c r="EK18" s="48" t="n"/>
      <c r="EL18" s="48" t="n"/>
      <c r="EM18" s="48" t="n"/>
      <c r="EN18" s="48" t="n"/>
      <c r="EO18" s="48" t="n"/>
      <c r="EP18" s="48" t="n"/>
      <c r="EQ18" s="48" t="n"/>
      <c r="ER18" s="48" t="n"/>
      <c r="ES18" s="48" t="n"/>
      <c r="ET18" s="48" t="n"/>
      <c r="EU18" s="48" t="n"/>
      <c r="EV18" s="48" t="n"/>
      <c r="EW18" s="48" t="n"/>
      <c r="EX18" s="48" t="n"/>
      <c r="EY18" s="48" t="n"/>
      <c r="EZ18" s="48" t="n"/>
      <c r="FA18" s="48" t="n"/>
      <c r="FB18" s="48" t="n"/>
      <c r="FC18" s="48" t="n"/>
      <c r="FD18" s="48" t="n"/>
      <c r="FE18" s="48" t="n"/>
      <c r="FF18" s="48" t="n"/>
      <c r="FG18" s="48" t="n"/>
      <c r="FH18" s="48" t="n"/>
      <c r="FI18" s="48" t="n"/>
      <c r="FJ18" s="48" t="n"/>
      <c r="FK18" s="48" t="n"/>
      <c r="FL18" s="48" t="n"/>
      <c r="FM18" s="48" t="n"/>
      <c r="FN18" s="48" t="n"/>
      <c r="FO18" s="48" t="n"/>
      <c r="FP18" s="48" t="n"/>
      <c r="FQ18" s="48" t="n"/>
      <c r="FR18" s="48" t="n"/>
      <c r="FS18" s="48" t="n"/>
      <c r="FT18" s="48" t="n"/>
      <c r="FU18" s="48" t="n"/>
      <c r="FV18" s="48" t="n"/>
      <c r="FW18" s="48" t="n"/>
      <c r="FX18" s="48" t="n"/>
      <c r="FY18" s="48" t="n"/>
      <c r="FZ18" s="48" t="n"/>
      <c r="GA18" s="48" t="n"/>
      <c r="GB18" s="48" t="n"/>
      <c r="GC18" s="48" t="n"/>
      <c r="GD18" s="48" t="n"/>
      <c r="GE18" s="48" t="n"/>
      <c r="GF18" s="48" t="n"/>
      <c r="GG18" s="48" t="n"/>
      <c r="GH18" s="48" t="n"/>
      <c r="GI18" s="48" t="n"/>
      <c r="GJ18" s="48" t="n"/>
      <c r="GK18" s="48" t="n"/>
      <c r="GL18" s="48" t="n"/>
      <c r="GM18" s="48" t="n"/>
      <c r="GN18" s="48" t="n"/>
      <c r="GO18" s="48" t="n"/>
      <c r="GP18" s="48" t="n"/>
      <c r="GQ18" s="48" t="n"/>
      <c r="GR18" s="48" t="n"/>
      <c r="GS18" s="48" t="n"/>
      <c r="GT18" s="48" t="n"/>
      <c r="GU18" s="48" t="n"/>
      <c r="GV18" s="48" t="n"/>
      <c r="GW18" s="48" t="n"/>
      <c r="GX18" s="48" t="n"/>
      <c r="GY18" s="48" t="n"/>
      <c r="GZ18" s="48" t="n"/>
      <c r="HA18" s="48" t="n"/>
      <c r="HB18" s="48" t="n"/>
      <c r="HC18" s="48" t="n"/>
      <c r="HD18" s="48" t="n"/>
      <c r="HE18" s="48" t="n"/>
      <c r="HF18" s="48" t="n"/>
      <c r="HG18" s="48" t="n"/>
      <c r="HH18" s="48" t="n"/>
      <c r="HI18" s="48" t="n"/>
      <c r="HJ18" s="48" t="n"/>
      <c r="HK18" s="48" t="n"/>
      <c r="HL18" s="48" t="n"/>
      <c r="HM18" s="48" t="n"/>
      <c r="HN18" s="48" t="n"/>
      <c r="HO18" s="48" t="n"/>
      <c r="HP18" s="48" t="n"/>
      <c r="HQ18" s="48" t="n"/>
      <c r="HR18" s="48" t="n"/>
      <c r="HS18" s="48" t="n"/>
      <c r="HT18" s="48" t="n"/>
      <c r="HU18" s="48" t="n"/>
      <c r="HV18" s="48" t="n"/>
      <c r="HW18" s="48" t="n"/>
      <c r="HX18" s="48" t="n"/>
      <c r="HY18" s="48" t="n"/>
      <c r="HZ18" s="48" t="n"/>
      <c r="IA18" s="48" t="n"/>
      <c r="IB18" s="48" t="n"/>
      <c r="IC18" s="48" t="n"/>
      <c r="ID18" s="48" t="n"/>
      <c r="IE18" s="48" t="n"/>
      <c r="IF18" s="48" t="n"/>
      <c r="IG18" s="48" t="n"/>
      <c r="IH18" s="48" t="n"/>
      <c r="II18" s="48" t="n"/>
      <c r="IJ18" s="48" t="n"/>
      <c r="IK18" s="48" t="n"/>
      <c r="IL18" s="48" t="n"/>
      <c r="IM18" s="48" t="n"/>
      <c r="IN18" s="48" t="n"/>
      <c r="IO18" s="48" t="n"/>
      <c r="IP18" s="48" t="n"/>
      <c r="IQ18" s="48" t="n"/>
      <c r="IR18" s="48" t="n"/>
      <c r="IS18" s="48" t="n"/>
      <c r="IT18" s="48" t="n"/>
      <c r="IU18" s="48" t="n"/>
      <c r="IV18" s="48" t="n"/>
      <c r="IW18" s="48" t="n"/>
      <c r="IX18" s="48" t="n"/>
      <c r="IY18" s="48" t="n"/>
      <c r="IZ18" s="48" t="n"/>
      <c r="JA18" s="48" t="n"/>
      <c r="JB18" s="48" t="n"/>
      <c r="JC18" s="48" t="n"/>
      <c r="JD18" s="48" t="n"/>
      <c r="JE18" s="48" t="n"/>
      <c r="JF18" s="48" t="n"/>
      <c r="JG18" s="48" t="n"/>
      <c r="JH18" s="48" t="n"/>
      <c r="JI18" s="48" t="n"/>
      <c r="JJ18" s="48" t="n"/>
      <c r="JK18" s="48" t="n"/>
      <c r="JL18" s="48" t="n"/>
      <c r="JM18" s="48" t="n"/>
      <c r="JN18" s="48" t="n"/>
      <c r="JO18" s="48" t="n"/>
      <c r="JP18" s="48" t="n"/>
      <c r="JQ18" s="48" t="n"/>
      <c r="JR18" s="48" t="n"/>
      <c r="JS18" s="48" t="n"/>
      <c r="JT18" s="48" t="n"/>
      <c r="JU18" s="48" t="n"/>
      <c r="JV18" s="48" t="n"/>
      <c r="JW18" s="48" t="n"/>
      <c r="JX18" s="48" t="n"/>
      <c r="JY18" s="48" t="n"/>
      <c r="JZ18" s="48" t="n"/>
      <c r="KA18" s="48" t="n"/>
      <c r="KB18" s="48" t="n"/>
      <c r="KC18" s="48" t="n"/>
      <c r="KD18" s="48" t="n"/>
      <c r="KE18" s="48" t="n"/>
      <c r="KF18" s="48" t="n"/>
      <c r="KG18" s="48" t="n"/>
      <c r="KH18" s="48" t="n"/>
      <c r="KI18" s="48" t="n"/>
      <c r="KJ18" s="48" t="n"/>
      <c r="KK18" s="48" t="n"/>
      <c r="KL18" s="48" t="n"/>
      <c r="KM18" s="48" t="n"/>
      <c r="KN18" s="48" t="n"/>
      <c r="KO18" s="48" t="n"/>
      <c r="KP18" s="48" t="n"/>
      <c r="KQ18" s="48" t="n"/>
      <c r="KR18" s="48" t="n"/>
      <c r="KS18" s="48" t="n"/>
      <c r="KT18" s="48" t="n"/>
      <c r="KU18" s="48" t="n"/>
      <c r="KV18" s="48" t="n"/>
      <c r="KW18" s="48" t="n"/>
      <c r="KX18" s="48" t="n"/>
      <c r="KY18" s="48" t="n"/>
      <c r="KZ18" s="48" t="n"/>
      <c r="LA18" s="48" t="n"/>
      <c r="LB18" s="48" t="n"/>
      <c r="LC18" s="48" t="n"/>
    </row>
    <row r="19" ht="17" customHeight="1">
      <c r="A19" s="11" t="n">
        <v>13</v>
      </c>
      <c r="B19" s="11" t="inlineStr">
        <is>
          <t>ЮГ-1</t>
        </is>
      </c>
      <c r="C19" s="16">
        <f>'ЮГ-1'!B125</f>
        <v/>
      </c>
      <c r="D19" s="11">
        <f>'ЮГ-1'!C125</f>
        <v/>
      </c>
      <c r="E19" s="11">
        <f>'ЮГ-1'!D125</f>
        <v/>
      </c>
      <c r="F19" s="34">
        <f>'ЮГ-1'!J125</f>
        <v/>
      </c>
      <c r="G19" s="34">
        <f>'ЮГ-1'!G128</f>
        <v/>
      </c>
      <c r="H19" s="34">
        <f>'ЮГ-1'!K125</f>
        <v/>
      </c>
      <c r="I19" s="46">
        <f>'ЮГ-1'!H125</f>
        <v/>
      </c>
      <c r="J19" s="11">
        <f>'ЮГ-1'!L125</f>
        <v/>
      </c>
      <c r="K19" s="11">
        <f>'ЮГ-1'!M125</f>
        <v/>
      </c>
      <c r="L19" s="47">
        <f>'ЮГ-1'!N125</f>
        <v/>
      </c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  <c r="AJ19" s="48" t="n"/>
      <c r="AK19" s="48" t="n"/>
      <c r="AL19" s="48" t="n"/>
      <c r="AM19" s="48" t="n"/>
      <c r="AN19" s="48" t="n"/>
      <c r="AO19" s="48" t="n"/>
      <c r="AP19" s="48" t="n"/>
      <c r="AQ19" s="48" t="n"/>
      <c r="AR19" s="48" t="n"/>
      <c r="AS19" s="48" t="n"/>
      <c r="AT19" s="48" t="n"/>
      <c r="AU19" s="48" t="n"/>
      <c r="AV19" s="48" t="n"/>
      <c r="AW19" s="48" t="n"/>
      <c r="AX19" s="48" t="n"/>
      <c r="AY19" s="48" t="n"/>
      <c r="AZ19" s="48" t="n"/>
      <c r="BA19" s="48" t="n"/>
      <c r="BB19" s="48" t="n"/>
      <c r="BC19" s="48" t="n"/>
      <c r="BD19" s="48" t="n"/>
      <c r="BE19" s="48" t="n"/>
      <c r="BF19" s="48" t="n"/>
      <c r="BG19" s="48" t="n"/>
      <c r="BH19" s="48" t="n"/>
      <c r="BI19" s="48" t="n"/>
      <c r="BJ19" s="48" t="n"/>
      <c r="BK19" s="48" t="n"/>
      <c r="BL19" s="48" t="n"/>
      <c r="BM19" s="48" t="n"/>
      <c r="BN19" s="48" t="n"/>
      <c r="BO19" s="48" t="n"/>
      <c r="BP19" s="48" t="n"/>
      <c r="BQ19" s="48" t="n"/>
      <c r="BR19" s="48" t="n"/>
      <c r="BS19" s="48" t="n"/>
      <c r="BT19" s="48" t="n"/>
      <c r="BU19" s="48" t="n"/>
      <c r="BV19" s="48" t="n"/>
      <c r="BW19" s="48" t="n"/>
      <c r="BX19" s="48" t="n"/>
      <c r="BY19" s="48" t="n"/>
      <c r="BZ19" s="48" t="n"/>
      <c r="CA19" s="48" t="n"/>
      <c r="CB19" s="48" t="n"/>
      <c r="CC19" s="48" t="n"/>
      <c r="CD19" s="48" t="n"/>
      <c r="CE19" s="48" t="n"/>
      <c r="CF19" s="48" t="n"/>
      <c r="CG19" s="48" t="n"/>
      <c r="CH19" s="48" t="n"/>
      <c r="CI19" s="48" t="n"/>
      <c r="CJ19" s="48" t="n"/>
      <c r="CK19" s="48" t="n"/>
      <c r="CL19" s="48" t="n"/>
      <c r="CM19" s="48" t="n"/>
      <c r="CN19" s="48" t="n"/>
      <c r="CO19" s="48" t="n"/>
      <c r="CP19" s="48" t="n"/>
      <c r="CQ19" s="48" t="n"/>
      <c r="CR19" s="48" t="n"/>
      <c r="CS19" s="48" t="n"/>
      <c r="CT19" s="48" t="n"/>
      <c r="CU19" s="48" t="n"/>
      <c r="CV19" s="48" t="n"/>
      <c r="CW19" s="48" t="n"/>
      <c r="CX19" s="48" t="n"/>
      <c r="CY19" s="48" t="n"/>
      <c r="CZ19" s="48" t="n"/>
      <c r="DA19" s="48" t="n"/>
      <c r="DB19" s="48" t="n"/>
      <c r="DC19" s="48" t="n"/>
      <c r="DD19" s="48" t="n"/>
      <c r="DE19" s="48" t="n"/>
      <c r="DF19" s="48" t="n"/>
      <c r="DG19" s="48" t="n"/>
      <c r="DH19" s="48" t="n"/>
      <c r="DI19" s="48" t="n"/>
      <c r="DJ19" s="48" t="n"/>
      <c r="DK19" s="48" t="n"/>
      <c r="DL19" s="48" t="n"/>
      <c r="DM19" s="48" t="n"/>
      <c r="DN19" s="48" t="n"/>
      <c r="DO19" s="48" t="n"/>
      <c r="DP19" s="48" t="n"/>
      <c r="DQ19" s="48" t="n"/>
      <c r="DR19" s="48" t="n"/>
      <c r="DS19" s="48" t="n"/>
      <c r="DT19" s="48" t="n"/>
      <c r="DU19" s="48" t="n"/>
      <c r="DV19" s="48" t="n"/>
      <c r="DW19" s="48" t="n"/>
      <c r="DX19" s="48" t="n"/>
      <c r="DY19" s="48" t="n"/>
      <c r="DZ19" s="48" t="n"/>
      <c r="EA19" s="48" t="n"/>
      <c r="EB19" s="48" t="n"/>
      <c r="EC19" s="48" t="n"/>
      <c r="ED19" s="48" t="n"/>
      <c r="EE19" s="48" t="n"/>
      <c r="EF19" s="48" t="n"/>
      <c r="EG19" s="48" t="n"/>
      <c r="EH19" s="48" t="n"/>
      <c r="EI19" s="48" t="n"/>
      <c r="EJ19" s="48" t="n"/>
      <c r="EK19" s="48" t="n"/>
      <c r="EL19" s="48" t="n"/>
      <c r="EM19" s="48" t="n"/>
      <c r="EN19" s="48" t="n"/>
      <c r="EO19" s="48" t="n"/>
      <c r="EP19" s="48" t="n"/>
      <c r="EQ19" s="48" t="n"/>
      <c r="ER19" s="48" t="n"/>
      <c r="ES19" s="48" t="n"/>
      <c r="ET19" s="48" t="n"/>
      <c r="EU19" s="48" t="n"/>
      <c r="EV19" s="48" t="n"/>
      <c r="EW19" s="48" t="n"/>
      <c r="EX19" s="48" t="n"/>
      <c r="EY19" s="48" t="n"/>
      <c r="EZ19" s="48" t="n"/>
      <c r="FA19" s="48" t="n"/>
      <c r="FB19" s="48" t="n"/>
      <c r="FC19" s="48" t="n"/>
      <c r="FD19" s="48" t="n"/>
      <c r="FE19" s="48" t="n"/>
      <c r="FF19" s="48" t="n"/>
      <c r="FG19" s="48" t="n"/>
      <c r="FH19" s="48" t="n"/>
      <c r="FI19" s="48" t="n"/>
      <c r="FJ19" s="48" t="n"/>
      <c r="FK19" s="48" t="n"/>
      <c r="FL19" s="48" t="n"/>
      <c r="FM19" s="48" t="n"/>
      <c r="FN19" s="48" t="n"/>
      <c r="FO19" s="48" t="n"/>
      <c r="FP19" s="48" t="n"/>
      <c r="FQ19" s="48" t="n"/>
      <c r="FR19" s="48" t="n"/>
      <c r="FS19" s="48" t="n"/>
      <c r="FT19" s="48" t="n"/>
      <c r="FU19" s="48" t="n"/>
      <c r="FV19" s="48" t="n"/>
      <c r="FW19" s="48" t="n"/>
      <c r="FX19" s="48" t="n"/>
      <c r="FY19" s="48" t="n"/>
      <c r="FZ19" s="48" t="n"/>
      <c r="GA19" s="48" t="n"/>
      <c r="GB19" s="48" t="n"/>
      <c r="GC19" s="48" t="n"/>
      <c r="GD19" s="48" t="n"/>
      <c r="GE19" s="48" t="n"/>
      <c r="GF19" s="48" t="n"/>
      <c r="GG19" s="48" t="n"/>
      <c r="GH19" s="48" t="n"/>
      <c r="GI19" s="48" t="n"/>
      <c r="GJ19" s="48" t="n"/>
      <c r="GK19" s="48" t="n"/>
      <c r="GL19" s="48" t="n"/>
      <c r="GM19" s="48" t="n"/>
      <c r="GN19" s="48" t="n"/>
      <c r="GO19" s="48" t="n"/>
      <c r="GP19" s="48" t="n"/>
      <c r="GQ19" s="48" t="n"/>
      <c r="GR19" s="48" t="n"/>
      <c r="GS19" s="48" t="n"/>
      <c r="GT19" s="48" t="n"/>
      <c r="GU19" s="48" t="n"/>
      <c r="GV19" s="48" t="n"/>
      <c r="GW19" s="48" t="n"/>
      <c r="GX19" s="48" t="n"/>
      <c r="GY19" s="48" t="n"/>
      <c r="GZ19" s="48" t="n"/>
      <c r="HA19" s="48" t="n"/>
      <c r="HB19" s="48" t="n"/>
      <c r="HC19" s="48" t="n"/>
      <c r="HD19" s="48" t="n"/>
      <c r="HE19" s="48" t="n"/>
      <c r="HF19" s="48" t="n"/>
      <c r="HG19" s="48" t="n"/>
      <c r="HH19" s="48" t="n"/>
      <c r="HI19" s="48" t="n"/>
      <c r="HJ19" s="48" t="n"/>
      <c r="HK19" s="48" t="n"/>
      <c r="HL19" s="48" t="n"/>
      <c r="HM19" s="48" t="n"/>
      <c r="HN19" s="48" t="n"/>
      <c r="HO19" s="48" t="n"/>
      <c r="HP19" s="48" t="n"/>
      <c r="HQ19" s="48" t="n"/>
      <c r="HR19" s="48" t="n"/>
      <c r="HS19" s="48" t="n"/>
      <c r="HT19" s="48" t="n"/>
      <c r="HU19" s="48" t="n"/>
      <c r="HV19" s="48" t="n"/>
      <c r="HW19" s="48" t="n"/>
      <c r="HX19" s="48" t="n"/>
      <c r="HY19" s="48" t="n"/>
      <c r="HZ19" s="48" t="n"/>
      <c r="IA19" s="48" t="n"/>
      <c r="IB19" s="48" t="n"/>
      <c r="IC19" s="48" t="n"/>
      <c r="ID19" s="48" t="n"/>
      <c r="IE19" s="48" t="n"/>
      <c r="IF19" s="48" t="n"/>
      <c r="IG19" s="48" t="n"/>
      <c r="IH19" s="48" t="n"/>
      <c r="II19" s="48" t="n"/>
      <c r="IJ19" s="48" t="n"/>
      <c r="IK19" s="48" t="n"/>
      <c r="IL19" s="48" t="n"/>
      <c r="IM19" s="48" t="n"/>
      <c r="IN19" s="48" t="n"/>
      <c r="IO19" s="48" t="n"/>
      <c r="IP19" s="48" t="n"/>
      <c r="IQ19" s="48" t="n"/>
      <c r="IR19" s="48" t="n"/>
      <c r="IS19" s="48" t="n"/>
      <c r="IT19" s="48" t="n"/>
      <c r="IU19" s="48" t="n"/>
      <c r="IV19" s="48" t="n"/>
      <c r="IW19" s="48" t="n"/>
      <c r="IX19" s="48" t="n"/>
      <c r="IY19" s="48" t="n"/>
      <c r="IZ19" s="48" t="n"/>
      <c r="JA19" s="48" t="n"/>
      <c r="JB19" s="48" t="n"/>
      <c r="JC19" s="48" t="n"/>
      <c r="JD19" s="48" t="n"/>
      <c r="JE19" s="48" t="n"/>
      <c r="JF19" s="48" t="n"/>
      <c r="JG19" s="48" t="n"/>
      <c r="JH19" s="48" t="n"/>
      <c r="JI19" s="48" t="n"/>
      <c r="JJ19" s="48" t="n"/>
      <c r="JK19" s="48" t="n"/>
      <c r="JL19" s="48" t="n"/>
      <c r="JM19" s="48" t="n"/>
      <c r="JN19" s="48" t="n"/>
      <c r="JO19" s="48" t="n"/>
      <c r="JP19" s="48" t="n"/>
      <c r="JQ19" s="48" t="n"/>
      <c r="JR19" s="48" t="n"/>
      <c r="JS19" s="48" t="n"/>
      <c r="JT19" s="48" t="n"/>
      <c r="JU19" s="48" t="n"/>
      <c r="JV19" s="48" t="n"/>
      <c r="JW19" s="48" t="n"/>
      <c r="JX19" s="48" t="n"/>
      <c r="JY19" s="48" t="n"/>
      <c r="JZ19" s="48" t="n"/>
      <c r="KA19" s="48" t="n"/>
      <c r="KB19" s="48" t="n"/>
      <c r="KC19" s="48" t="n"/>
      <c r="KD19" s="48" t="n"/>
      <c r="KE19" s="48" t="n"/>
      <c r="KF19" s="48" t="n"/>
      <c r="KG19" s="48" t="n"/>
      <c r="KH19" s="48" t="n"/>
      <c r="KI19" s="48" t="n"/>
      <c r="KJ19" s="48" t="n"/>
      <c r="KK19" s="48" t="n"/>
      <c r="KL19" s="48" t="n"/>
      <c r="KM19" s="48" t="n"/>
      <c r="KN19" s="48" t="n"/>
      <c r="KO19" s="48" t="n"/>
      <c r="KP19" s="48" t="n"/>
      <c r="KQ19" s="48" t="n"/>
      <c r="KR19" s="48" t="n"/>
      <c r="KS19" s="48" t="n"/>
      <c r="KT19" s="48" t="n"/>
      <c r="KU19" s="48" t="n"/>
      <c r="KV19" s="48" t="n"/>
      <c r="KW19" s="48" t="n"/>
      <c r="KX19" s="48" t="n"/>
      <c r="KY19" s="48" t="n"/>
      <c r="KZ19" s="48" t="n"/>
      <c r="LA19" s="48" t="n"/>
      <c r="LB19" s="48" t="n"/>
      <c r="LC19" s="48" t="n"/>
    </row>
    <row r="20" ht="17" customHeight="1">
      <c r="A20" s="11" t="n">
        <v>14</v>
      </c>
      <c r="B20" s="11" t="inlineStr">
        <is>
          <t>ЮГ-1</t>
        </is>
      </c>
      <c r="C20" s="16">
        <f>'ЮГ-1'!B135</f>
        <v/>
      </c>
      <c r="D20" s="11">
        <f>'ЮГ-1'!C135</f>
        <v/>
      </c>
      <c r="E20" s="11">
        <f>'ЮГ-1'!D135</f>
        <v/>
      </c>
      <c r="F20" s="34">
        <f>'ЮГ-1'!J135</f>
        <v/>
      </c>
      <c r="G20" s="34">
        <f>'ЮГ-1'!G138</f>
        <v/>
      </c>
      <c r="H20" s="34">
        <f>'ЮГ-1'!K135</f>
        <v/>
      </c>
      <c r="I20" s="46">
        <f>'ЮГ-1'!H135</f>
        <v/>
      </c>
      <c r="J20" s="11">
        <f>'ЮГ-1'!L135</f>
        <v/>
      </c>
      <c r="K20" s="11">
        <f>'ЮГ-1'!M135</f>
        <v/>
      </c>
      <c r="L20" s="47">
        <f>'ЮГ-1'!N135</f>
        <v/>
      </c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8" t="n"/>
      <c r="AA20" s="48" t="n"/>
      <c r="AB20" s="48" t="n"/>
      <c r="AC20" s="48" t="n"/>
      <c r="AD20" s="48" t="n"/>
      <c r="AE20" s="48" t="n"/>
      <c r="AF20" s="48" t="n"/>
      <c r="AG20" s="48" t="n"/>
      <c r="AH20" s="48" t="n"/>
      <c r="AI20" s="48" t="n"/>
      <c r="AJ20" s="48" t="n"/>
      <c r="AK20" s="48" t="n"/>
      <c r="AL20" s="48" t="n"/>
      <c r="AM20" s="48" t="n"/>
      <c r="AN20" s="48" t="n"/>
      <c r="AO20" s="48" t="n"/>
      <c r="AP20" s="48" t="n"/>
      <c r="AQ20" s="48" t="n"/>
      <c r="AR20" s="48" t="n"/>
      <c r="AS20" s="48" t="n"/>
      <c r="AT20" s="48" t="n"/>
      <c r="AU20" s="48" t="n"/>
      <c r="AV20" s="48" t="n"/>
      <c r="AW20" s="48" t="n"/>
      <c r="AX20" s="48" t="n"/>
      <c r="AY20" s="48" t="n"/>
      <c r="AZ20" s="48" t="n"/>
      <c r="BA20" s="48" t="n"/>
      <c r="BB20" s="48" t="n"/>
      <c r="BC20" s="48" t="n"/>
      <c r="BD20" s="48" t="n"/>
      <c r="BE20" s="48" t="n"/>
      <c r="BF20" s="48" t="n"/>
      <c r="BG20" s="48" t="n"/>
      <c r="BH20" s="48" t="n"/>
      <c r="BI20" s="48" t="n"/>
      <c r="BJ20" s="48" t="n"/>
      <c r="BK20" s="48" t="n"/>
      <c r="BL20" s="48" t="n"/>
      <c r="BM20" s="48" t="n"/>
      <c r="BN20" s="48" t="n"/>
      <c r="BO20" s="48" t="n"/>
      <c r="BP20" s="48" t="n"/>
      <c r="BQ20" s="48" t="n"/>
      <c r="BR20" s="48" t="n"/>
      <c r="BS20" s="48" t="n"/>
      <c r="BT20" s="48" t="n"/>
      <c r="BU20" s="48" t="n"/>
      <c r="BV20" s="48" t="n"/>
      <c r="BW20" s="48" t="n"/>
      <c r="BX20" s="48" t="n"/>
      <c r="BY20" s="48" t="n"/>
      <c r="BZ20" s="48" t="n"/>
      <c r="CA20" s="48" t="n"/>
      <c r="CB20" s="48" t="n"/>
      <c r="CC20" s="48" t="n"/>
      <c r="CD20" s="48" t="n"/>
      <c r="CE20" s="48" t="n"/>
      <c r="CF20" s="48" t="n"/>
      <c r="CG20" s="48" t="n"/>
      <c r="CH20" s="48" t="n"/>
      <c r="CI20" s="48" t="n"/>
      <c r="CJ20" s="48" t="n"/>
      <c r="CK20" s="48" t="n"/>
      <c r="CL20" s="48" t="n"/>
      <c r="CM20" s="48" t="n"/>
      <c r="CN20" s="48" t="n"/>
      <c r="CO20" s="48" t="n"/>
      <c r="CP20" s="48" t="n"/>
      <c r="CQ20" s="48" t="n"/>
      <c r="CR20" s="48" t="n"/>
      <c r="CS20" s="48" t="n"/>
      <c r="CT20" s="48" t="n"/>
      <c r="CU20" s="48" t="n"/>
      <c r="CV20" s="48" t="n"/>
      <c r="CW20" s="48" t="n"/>
      <c r="CX20" s="48" t="n"/>
      <c r="CY20" s="48" t="n"/>
      <c r="CZ20" s="48" t="n"/>
      <c r="DA20" s="48" t="n"/>
      <c r="DB20" s="48" t="n"/>
      <c r="DC20" s="48" t="n"/>
      <c r="DD20" s="48" t="n"/>
      <c r="DE20" s="48" t="n"/>
      <c r="DF20" s="48" t="n"/>
      <c r="DG20" s="48" t="n"/>
      <c r="DH20" s="48" t="n"/>
      <c r="DI20" s="48" t="n"/>
      <c r="DJ20" s="48" t="n"/>
      <c r="DK20" s="48" t="n"/>
      <c r="DL20" s="48" t="n"/>
      <c r="DM20" s="48" t="n"/>
      <c r="DN20" s="48" t="n"/>
      <c r="DO20" s="48" t="n"/>
      <c r="DP20" s="48" t="n"/>
      <c r="DQ20" s="48" t="n"/>
      <c r="DR20" s="48" t="n"/>
      <c r="DS20" s="48" t="n"/>
      <c r="DT20" s="48" t="n"/>
      <c r="DU20" s="48" t="n"/>
      <c r="DV20" s="48" t="n"/>
      <c r="DW20" s="48" t="n"/>
      <c r="DX20" s="48" t="n"/>
      <c r="DY20" s="48" t="n"/>
      <c r="DZ20" s="48" t="n"/>
      <c r="EA20" s="48" t="n"/>
      <c r="EB20" s="48" t="n"/>
      <c r="EC20" s="48" t="n"/>
      <c r="ED20" s="48" t="n"/>
      <c r="EE20" s="48" t="n"/>
      <c r="EF20" s="48" t="n"/>
      <c r="EG20" s="48" t="n"/>
      <c r="EH20" s="48" t="n"/>
      <c r="EI20" s="48" t="n"/>
      <c r="EJ20" s="48" t="n"/>
      <c r="EK20" s="48" t="n"/>
      <c r="EL20" s="48" t="n"/>
      <c r="EM20" s="48" t="n"/>
      <c r="EN20" s="48" t="n"/>
      <c r="EO20" s="48" t="n"/>
      <c r="EP20" s="48" t="n"/>
      <c r="EQ20" s="48" t="n"/>
      <c r="ER20" s="48" t="n"/>
      <c r="ES20" s="48" t="n"/>
      <c r="ET20" s="48" t="n"/>
      <c r="EU20" s="48" t="n"/>
      <c r="EV20" s="48" t="n"/>
      <c r="EW20" s="48" t="n"/>
      <c r="EX20" s="48" t="n"/>
      <c r="EY20" s="48" t="n"/>
      <c r="EZ20" s="48" t="n"/>
      <c r="FA20" s="48" t="n"/>
      <c r="FB20" s="48" t="n"/>
      <c r="FC20" s="48" t="n"/>
      <c r="FD20" s="48" t="n"/>
      <c r="FE20" s="48" t="n"/>
      <c r="FF20" s="48" t="n"/>
      <c r="FG20" s="48" t="n"/>
      <c r="FH20" s="48" t="n"/>
      <c r="FI20" s="48" t="n"/>
      <c r="FJ20" s="48" t="n"/>
      <c r="FK20" s="48" t="n"/>
      <c r="FL20" s="48" t="n"/>
      <c r="FM20" s="48" t="n"/>
      <c r="FN20" s="48" t="n"/>
      <c r="FO20" s="48" t="n"/>
      <c r="FP20" s="48" t="n"/>
      <c r="FQ20" s="48" t="n"/>
      <c r="FR20" s="48" t="n"/>
      <c r="FS20" s="48" t="n"/>
      <c r="FT20" s="48" t="n"/>
      <c r="FU20" s="48" t="n"/>
      <c r="FV20" s="48" t="n"/>
      <c r="FW20" s="48" t="n"/>
      <c r="FX20" s="48" t="n"/>
      <c r="FY20" s="48" t="n"/>
      <c r="FZ20" s="48" t="n"/>
      <c r="GA20" s="48" t="n"/>
      <c r="GB20" s="48" t="n"/>
      <c r="GC20" s="48" t="n"/>
      <c r="GD20" s="48" t="n"/>
      <c r="GE20" s="48" t="n"/>
      <c r="GF20" s="48" t="n"/>
      <c r="GG20" s="48" t="n"/>
      <c r="GH20" s="48" t="n"/>
      <c r="GI20" s="48" t="n"/>
      <c r="GJ20" s="48" t="n"/>
      <c r="GK20" s="48" t="n"/>
      <c r="GL20" s="48" t="n"/>
      <c r="GM20" s="48" t="n"/>
      <c r="GN20" s="48" t="n"/>
      <c r="GO20" s="48" t="n"/>
      <c r="GP20" s="48" t="n"/>
      <c r="GQ20" s="48" t="n"/>
      <c r="GR20" s="48" t="n"/>
      <c r="GS20" s="48" t="n"/>
      <c r="GT20" s="48" t="n"/>
      <c r="GU20" s="48" t="n"/>
      <c r="GV20" s="48" t="n"/>
      <c r="GW20" s="48" t="n"/>
      <c r="GX20" s="48" t="n"/>
      <c r="GY20" s="48" t="n"/>
      <c r="GZ20" s="48" t="n"/>
      <c r="HA20" s="48" t="n"/>
      <c r="HB20" s="48" t="n"/>
      <c r="HC20" s="48" t="n"/>
      <c r="HD20" s="48" t="n"/>
      <c r="HE20" s="48" t="n"/>
      <c r="HF20" s="48" t="n"/>
      <c r="HG20" s="48" t="n"/>
      <c r="HH20" s="48" t="n"/>
      <c r="HI20" s="48" t="n"/>
      <c r="HJ20" s="48" t="n"/>
      <c r="HK20" s="48" t="n"/>
      <c r="HL20" s="48" t="n"/>
      <c r="HM20" s="48" t="n"/>
      <c r="HN20" s="48" t="n"/>
      <c r="HO20" s="48" t="n"/>
      <c r="HP20" s="48" t="n"/>
      <c r="HQ20" s="48" t="n"/>
      <c r="HR20" s="48" t="n"/>
      <c r="HS20" s="48" t="n"/>
      <c r="HT20" s="48" t="n"/>
      <c r="HU20" s="48" t="n"/>
      <c r="HV20" s="48" t="n"/>
      <c r="HW20" s="48" t="n"/>
      <c r="HX20" s="48" t="n"/>
      <c r="HY20" s="48" t="n"/>
      <c r="HZ20" s="48" t="n"/>
      <c r="IA20" s="48" t="n"/>
      <c r="IB20" s="48" t="n"/>
      <c r="IC20" s="48" t="n"/>
      <c r="ID20" s="48" t="n"/>
      <c r="IE20" s="48" t="n"/>
      <c r="IF20" s="48" t="n"/>
      <c r="IG20" s="48" t="n"/>
      <c r="IH20" s="48" t="n"/>
      <c r="II20" s="48" t="n"/>
      <c r="IJ20" s="48" t="n"/>
      <c r="IK20" s="48" t="n"/>
      <c r="IL20" s="48" t="n"/>
      <c r="IM20" s="48" t="n"/>
      <c r="IN20" s="48" t="n"/>
      <c r="IO20" s="48" t="n"/>
      <c r="IP20" s="48" t="n"/>
      <c r="IQ20" s="48" t="n"/>
      <c r="IR20" s="48" t="n"/>
      <c r="IS20" s="48" t="n"/>
      <c r="IT20" s="48" t="n"/>
      <c r="IU20" s="48" t="n"/>
      <c r="IV20" s="48" t="n"/>
      <c r="IW20" s="48" t="n"/>
      <c r="IX20" s="48" t="n"/>
      <c r="IY20" s="48" t="n"/>
      <c r="IZ20" s="48" t="n"/>
      <c r="JA20" s="48" t="n"/>
      <c r="JB20" s="48" t="n"/>
      <c r="JC20" s="48" t="n"/>
      <c r="JD20" s="48" t="n"/>
      <c r="JE20" s="48" t="n"/>
      <c r="JF20" s="48" t="n"/>
      <c r="JG20" s="48" t="n"/>
      <c r="JH20" s="48" t="n"/>
      <c r="JI20" s="48" t="n"/>
      <c r="JJ20" s="48" t="n"/>
      <c r="JK20" s="48" t="n"/>
      <c r="JL20" s="48" t="n"/>
      <c r="JM20" s="48" t="n"/>
      <c r="JN20" s="48" t="n"/>
      <c r="JO20" s="48" t="n"/>
      <c r="JP20" s="48" t="n"/>
      <c r="JQ20" s="48" t="n"/>
      <c r="JR20" s="48" t="n"/>
      <c r="JS20" s="48" t="n"/>
      <c r="JT20" s="48" t="n"/>
      <c r="JU20" s="48" t="n"/>
      <c r="JV20" s="48" t="n"/>
      <c r="JW20" s="48" t="n"/>
      <c r="JX20" s="48" t="n"/>
      <c r="JY20" s="48" t="n"/>
      <c r="JZ20" s="48" t="n"/>
      <c r="KA20" s="48" t="n"/>
      <c r="KB20" s="48" t="n"/>
      <c r="KC20" s="48" t="n"/>
      <c r="KD20" s="48" t="n"/>
      <c r="KE20" s="48" t="n"/>
      <c r="KF20" s="48" t="n"/>
      <c r="KG20" s="48" t="n"/>
      <c r="KH20" s="48" t="n"/>
      <c r="KI20" s="48" t="n"/>
      <c r="KJ20" s="48" t="n"/>
      <c r="KK20" s="48" t="n"/>
      <c r="KL20" s="48" t="n"/>
      <c r="KM20" s="48" t="n"/>
      <c r="KN20" s="48" t="n"/>
      <c r="KO20" s="48" t="n"/>
      <c r="KP20" s="48" t="n"/>
      <c r="KQ20" s="48" t="n"/>
      <c r="KR20" s="48" t="n"/>
      <c r="KS20" s="48" t="n"/>
      <c r="KT20" s="48" t="n"/>
      <c r="KU20" s="48" t="n"/>
      <c r="KV20" s="48" t="n"/>
      <c r="KW20" s="48" t="n"/>
      <c r="KX20" s="48" t="n"/>
      <c r="KY20" s="48" t="n"/>
      <c r="KZ20" s="48" t="n"/>
      <c r="LA20" s="48" t="n"/>
      <c r="LB20" s="48" t="n"/>
      <c r="LC20" s="48" t="n"/>
    </row>
    <row r="21" ht="20" customHeight="1">
      <c r="A21" s="44" t="inlineStr">
        <is>
          <t>СКВАЖИНА ЮГ-2</t>
        </is>
      </c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  <c r="AL21" s="45" t="n"/>
      <c r="AM21" s="45" t="n"/>
      <c r="AN21" s="45" t="n"/>
      <c r="AO21" s="45" t="n"/>
      <c r="AP21" s="45" t="n"/>
      <c r="AQ21" s="45" t="n"/>
      <c r="AR21" s="45" t="n"/>
      <c r="AS21" s="45" t="n"/>
      <c r="AT21" s="45" t="n"/>
      <c r="AU21" s="45" t="n"/>
      <c r="AV21" s="45" t="n"/>
      <c r="AW21" s="45" t="n"/>
      <c r="AX21" s="45" t="n"/>
      <c r="AY21" s="45" t="n"/>
      <c r="AZ21" s="45" t="n"/>
      <c r="BA21" s="45" t="n"/>
      <c r="BB21" s="45" t="n"/>
      <c r="BC21" s="45" t="n"/>
      <c r="BD21" s="45" t="n"/>
      <c r="BE21" s="45" t="n"/>
      <c r="BF21" s="45" t="n"/>
      <c r="BG21" s="45" t="n"/>
      <c r="BH21" s="45" t="n"/>
      <c r="BI21" s="45" t="n"/>
      <c r="BJ21" s="45" t="n"/>
      <c r="BK21" s="45" t="n"/>
      <c r="BL21" s="45" t="n"/>
      <c r="BM21" s="45" t="n"/>
      <c r="BN21" s="45" t="n"/>
      <c r="BO21" s="45" t="n"/>
      <c r="BP21" s="45" t="n"/>
      <c r="BQ21" s="45" t="n"/>
      <c r="BR21" s="45" t="n"/>
      <c r="BS21" s="45" t="n"/>
      <c r="BT21" s="45" t="n"/>
      <c r="BU21" s="45" t="n"/>
      <c r="BV21" s="45" t="n"/>
      <c r="BW21" s="45" t="n"/>
      <c r="BX21" s="45" t="n"/>
      <c r="BY21" s="45" t="n"/>
      <c r="BZ21" s="45" t="n"/>
      <c r="CA21" s="45" t="n"/>
      <c r="CB21" s="45" t="n"/>
      <c r="CC21" s="45" t="n"/>
      <c r="CD21" s="45" t="n"/>
      <c r="CE21" s="45" t="n"/>
      <c r="CF21" s="45" t="n"/>
      <c r="CG21" s="45" t="n"/>
      <c r="CH21" s="45" t="n"/>
      <c r="CI21" s="45" t="n"/>
      <c r="CJ21" s="45" t="n"/>
      <c r="CK21" s="45" t="n"/>
      <c r="CL21" s="45" t="n"/>
      <c r="CM21" s="45" t="n"/>
      <c r="CN21" s="45" t="n"/>
      <c r="CO21" s="45" t="n"/>
      <c r="CP21" s="45" t="n"/>
      <c r="CQ21" s="45" t="n"/>
      <c r="CR21" s="45" t="n"/>
      <c r="CS21" s="45" t="n"/>
      <c r="CT21" s="45" t="n"/>
      <c r="CU21" s="45" t="n"/>
      <c r="CV21" s="45" t="n"/>
      <c r="CW21" s="45" t="n"/>
      <c r="CX21" s="45" t="n"/>
      <c r="CY21" s="45" t="n"/>
      <c r="CZ21" s="45" t="n"/>
      <c r="DA21" s="45" t="n"/>
      <c r="DB21" s="45" t="n"/>
      <c r="DC21" s="45" t="n"/>
      <c r="DD21" s="45" t="n"/>
      <c r="DE21" s="45" t="n"/>
      <c r="DF21" s="45" t="n"/>
      <c r="DG21" s="45" t="n"/>
      <c r="DH21" s="45" t="n"/>
      <c r="DI21" s="45" t="n"/>
      <c r="DJ21" s="45" t="n"/>
      <c r="DK21" s="45" t="n"/>
      <c r="DL21" s="45" t="n"/>
      <c r="DM21" s="45" t="n"/>
      <c r="DN21" s="45" t="n"/>
      <c r="DO21" s="45" t="n"/>
      <c r="DP21" s="45" t="n"/>
      <c r="DQ21" s="45" t="n"/>
      <c r="DR21" s="45" t="n"/>
      <c r="DS21" s="45" t="n"/>
      <c r="DT21" s="45" t="n"/>
      <c r="DU21" s="45" t="n"/>
      <c r="DV21" s="45" t="n"/>
      <c r="DW21" s="45" t="n"/>
      <c r="DX21" s="45" t="n"/>
      <c r="DY21" s="45" t="n"/>
      <c r="DZ21" s="45" t="n"/>
      <c r="EA21" s="45" t="n"/>
      <c r="EB21" s="45" t="n"/>
      <c r="EC21" s="45" t="n"/>
      <c r="ED21" s="45" t="n"/>
      <c r="EE21" s="45" t="n"/>
      <c r="EF21" s="45" t="n"/>
      <c r="EG21" s="45" t="n"/>
      <c r="EH21" s="45" t="n"/>
      <c r="EI21" s="45" t="n"/>
      <c r="EJ21" s="45" t="n"/>
      <c r="EK21" s="45" t="n"/>
      <c r="EL21" s="45" t="n"/>
      <c r="EM21" s="45" t="n"/>
      <c r="EN21" s="45" t="n"/>
      <c r="EO21" s="45" t="n"/>
      <c r="EP21" s="45" t="n"/>
      <c r="EQ21" s="45" t="n"/>
      <c r="ER21" s="45" t="n"/>
      <c r="ES21" s="45" t="n"/>
      <c r="ET21" s="45" t="n"/>
      <c r="EU21" s="45" t="n"/>
      <c r="EV21" s="45" t="n"/>
      <c r="EW21" s="45" t="n"/>
      <c r="EX21" s="45" t="n"/>
      <c r="EY21" s="45" t="n"/>
      <c r="EZ21" s="45" t="n"/>
      <c r="FA21" s="45" t="n"/>
      <c r="FB21" s="45" t="n"/>
      <c r="FC21" s="45" t="n"/>
      <c r="FD21" s="45" t="n"/>
      <c r="FE21" s="45" t="n"/>
      <c r="FF21" s="45" t="n"/>
      <c r="FG21" s="45" t="n"/>
      <c r="FH21" s="45" t="n"/>
      <c r="FI21" s="45" t="n"/>
      <c r="FJ21" s="45" t="n"/>
      <c r="FK21" s="45" t="n"/>
      <c r="FL21" s="45" t="n"/>
      <c r="FM21" s="45" t="n"/>
      <c r="FN21" s="45" t="n"/>
      <c r="FO21" s="45" t="n"/>
      <c r="FP21" s="45" t="n"/>
      <c r="FQ21" s="45" t="n"/>
      <c r="FR21" s="45" t="n"/>
      <c r="FS21" s="45" t="n"/>
      <c r="FT21" s="45" t="n"/>
      <c r="FU21" s="45" t="n"/>
      <c r="FV21" s="45" t="n"/>
      <c r="FW21" s="45" t="n"/>
      <c r="FX21" s="45" t="n"/>
      <c r="FY21" s="45" t="n"/>
      <c r="FZ21" s="45" t="n"/>
      <c r="GA21" s="45" t="n"/>
      <c r="GB21" s="45" t="n"/>
      <c r="GC21" s="45" t="n"/>
      <c r="GD21" s="45" t="n"/>
      <c r="GE21" s="45" t="n"/>
      <c r="GF21" s="45" t="n"/>
      <c r="GG21" s="45" t="n"/>
      <c r="GH21" s="45" t="n"/>
      <c r="GI21" s="45" t="n"/>
      <c r="GJ21" s="45" t="n"/>
      <c r="GK21" s="45" t="n"/>
      <c r="GL21" s="45" t="n"/>
      <c r="GM21" s="45" t="n"/>
      <c r="GN21" s="45" t="n"/>
      <c r="GO21" s="45" t="n"/>
      <c r="GP21" s="45" t="n"/>
      <c r="GQ21" s="45" t="n"/>
      <c r="GR21" s="45" t="n"/>
      <c r="GS21" s="45" t="n"/>
      <c r="GT21" s="45" t="n"/>
      <c r="GU21" s="45" t="n"/>
      <c r="GV21" s="45" t="n"/>
      <c r="GW21" s="45" t="n"/>
      <c r="GX21" s="45" t="n"/>
      <c r="GY21" s="45" t="n"/>
      <c r="GZ21" s="45" t="n"/>
      <c r="HA21" s="45" t="n"/>
      <c r="HB21" s="45" t="n"/>
      <c r="HC21" s="45" t="n"/>
      <c r="HD21" s="45" t="n"/>
      <c r="HE21" s="45" t="n"/>
      <c r="HF21" s="45" t="n"/>
      <c r="HG21" s="45" t="n"/>
      <c r="HH21" s="45" t="n"/>
      <c r="HI21" s="45" t="n"/>
      <c r="HJ21" s="45" t="n"/>
      <c r="HK21" s="45" t="n"/>
      <c r="HL21" s="45" t="n"/>
      <c r="HM21" s="45" t="n"/>
      <c r="HN21" s="45" t="n"/>
      <c r="HO21" s="45" t="n"/>
      <c r="HP21" s="45" t="n"/>
      <c r="HQ21" s="45" t="n"/>
      <c r="HR21" s="45" t="n"/>
      <c r="HS21" s="45" t="n"/>
      <c r="HT21" s="45" t="n"/>
      <c r="HU21" s="45" t="n"/>
      <c r="HV21" s="45" t="n"/>
      <c r="HW21" s="45" t="n"/>
      <c r="HX21" s="45" t="n"/>
      <c r="HY21" s="45" t="n"/>
      <c r="HZ21" s="45" t="n"/>
      <c r="IA21" s="45" t="n"/>
      <c r="IB21" s="45" t="n"/>
      <c r="IC21" s="45" t="n"/>
      <c r="ID21" s="45" t="n"/>
      <c r="IE21" s="45" t="n"/>
      <c r="IF21" s="45" t="n"/>
      <c r="IG21" s="45" t="n"/>
      <c r="IH21" s="45" t="n"/>
      <c r="II21" s="45" t="n"/>
      <c r="IJ21" s="45" t="n"/>
      <c r="IK21" s="45" t="n"/>
      <c r="IL21" s="45" t="n"/>
      <c r="IM21" s="45" t="n"/>
      <c r="IN21" s="45" t="n"/>
      <c r="IO21" s="45" t="n"/>
      <c r="IP21" s="45" t="n"/>
      <c r="IQ21" s="45" t="n"/>
      <c r="IR21" s="45" t="n"/>
      <c r="IS21" s="45" t="n"/>
      <c r="IT21" s="45" t="n"/>
      <c r="IU21" s="45" t="n"/>
      <c r="IV21" s="45" t="n"/>
      <c r="IW21" s="45" t="n"/>
      <c r="IX21" s="45" t="n"/>
      <c r="IY21" s="45" t="n"/>
      <c r="IZ21" s="45" t="n"/>
      <c r="JA21" s="45" t="n"/>
      <c r="JB21" s="45" t="n"/>
      <c r="JC21" s="45" t="n"/>
      <c r="JD21" s="45" t="n"/>
      <c r="JE21" s="45" t="n"/>
      <c r="JF21" s="45" t="n"/>
      <c r="JG21" s="45" t="n"/>
      <c r="JH21" s="45" t="n"/>
      <c r="JI21" s="45" t="n"/>
      <c r="JJ21" s="45" t="n"/>
      <c r="JK21" s="45" t="n"/>
      <c r="JL21" s="45" t="n"/>
      <c r="JM21" s="45" t="n"/>
      <c r="JN21" s="45" t="n"/>
      <c r="JO21" s="45" t="n"/>
      <c r="JP21" s="45" t="n"/>
      <c r="JQ21" s="45" t="n"/>
      <c r="JR21" s="45" t="n"/>
      <c r="JS21" s="45" t="n"/>
      <c r="JT21" s="45" t="n"/>
      <c r="JU21" s="45" t="n"/>
      <c r="JV21" s="45" t="n"/>
      <c r="JW21" s="45" t="n"/>
      <c r="JX21" s="45" t="n"/>
      <c r="JY21" s="45" t="n"/>
      <c r="JZ21" s="45" t="n"/>
      <c r="KA21" s="45" t="n"/>
      <c r="KB21" s="45" t="n"/>
      <c r="KC21" s="45" t="n"/>
      <c r="KD21" s="45" t="n"/>
      <c r="KE21" s="45" t="n"/>
      <c r="KF21" s="45" t="n"/>
      <c r="KG21" s="45" t="n"/>
      <c r="KH21" s="45" t="n"/>
      <c r="KI21" s="45" t="n"/>
      <c r="KJ21" s="45" t="n"/>
      <c r="KK21" s="45" t="n"/>
      <c r="KL21" s="45" t="n"/>
      <c r="KM21" s="45" t="n"/>
      <c r="KN21" s="45" t="n"/>
      <c r="KO21" s="45" t="n"/>
      <c r="KP21" s="45" t="n"/>
      <c r="KQ21" s="45" t="n"/>
      <c r="KR21" s="45" t="n"/>
      <c r="KS21" s="45" t="n"/>
      <c r="KT21" s="45" t="n"/>
      <c r="KU21" s="45" t="n"/>
      <c r="KV21" s="45" t="n"/>
      <c r="KW21" s="45" t="n"/>
      <c r="KX21" s="45" t="n"/>
      <c r="KY21" s="45" t="n"/>
      <c r="KZ21" s="45" t="n"/>
      <c r="LA21" s="45" t="n"/>
      <c r="LB21" s="45" t="n"/>
      <c r="LC21" s="45" t="n"/>
    </row>
    <row r="22" ht="17" customHeight="1">
      <c r="A22" s="11" t="n">
        <v>15</v>
      </c>
      <c r="B22" s="11" t="inlineStr">
        <is>
          <t>ЮГ-2</t>
        </is>
      </c>
      <c r="C22" s="16">
        <f>'ЮГ-2'!B5</f>
        <v/>
      </c>
      <c r="D22" s="11">
        <f>'ЮГ-2'!C5</f>
        <v/>
      </c>
      <c r="E22" s="11">
        <f>'ЮГ-2'!D5</f>
        <v/>
      </c>
      <c r="F22" s="34">
        <f>'ЮГ-2'!J5</f>
        <v/>
      </c>
      <c r="G22" s="34">
        <f>'ЮГ-2'!G8</f>
        <v/>
      </c>
      <c r="H22" s="34">
        <f>'ЮГ-2'!K5</f>
        <v/>
      </c>
      <c r="I22" s="46">
        <f>'ЮГ-2'!H5</f>
        <v/>
      </c>
      <c r="J22" s="11">
        <f>'ЮГ-2'!L5</f>
        <v/>
      </c>
      <c r="K22" s="11">
        <f>'ЮГ-2'!M5</f>
        <v/>
      </c>
      <c r="L22" s="47">
        <f>'ЮГ-2'!N5</f>
        <v/>
      </c>
      <c r="M22" s="48" t="n"/>
      <c r="N22" s="48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  <c r="Y22" s="48" t="n"/>
      <c r="Z22" s="48" t="n"/>
      <c r="AA22" s="48" t="n"/>
      <c r="AB22" s="48" t="n"/>
      <c r="AC22" s="48" t="n"/>
      <c r="AD22" s="48" t="n"/>
      <c r="AE22" s="48" t="n"/>
      <c r="AF22" s="48" t="n"/>
      <c r="AG22" s="48" t="n"/>
      <c r="AH22" s="48" t="n"/>
      <c r="AI22" s="48" t="n"/>
      <c r="AJ22" s="48" t="n"/>
      <c r="AK22" s="48" t="n"/>
      <c r="AL22" s="48" t="n"/>
      <c r="AM22" s="48" t="n"/>
      <c r="AN22" s="48" t="n"/>
      <c r="AO22" s="48" t="n"/>
      <c r="AP22" s="48" t="n"/>
      <c r="AQ22" s="48" t="n"/>
      <c r="AR22" s="48" t="n"/>
      <c r="AS22" s="48" t="n"/>
      <c r="AT22" s="48" t="n"/>
      <c r="AU22" s="48" t="n"/>
      <c r="AV22" s="48" t="n"/>
      <c r="AW22" s="48" t="n"/>
      <c r="AX22" s="48" t="n"/>
      <c r="AY22" s="48" t="n"/>
      <c r="AZ22" s="48" t="n"/>
      <c r="BA22" s="48" t="n"/>
      <c r="BB22" s="48" t="n"/>
      <c r="BC22" s="48" t="n"/>
      <c r="BD22" s="48" t="n"/>
      <c r="BE22" s="48" t="n"/>
      <c r="BF22" s="48" t="n"/>
      <c r="BG22" s="48" t="n"/>
      <c r="BH22" s="48" t="n"/>
      <c r="BI22" s="48" t="n"/>
      <c r="BJ22" s="48" t="n"/>
      <c r="BK22" s="48" t="n"/>
      <c r="BL22" s="48" t="n"/>
      <c r="BM22" s="48" t="n"/>
      <c r="BN22" s="48" t="n"/>
      <c r="BO22" s="48" t="n"/>
      <c r="BP22" s="48" t="n"/>
      <c r="BQ22" s="48" t="n"/>
      <c r="BR22" s="48" t="n"/>
      <c r="BS22" s="48" t="n"/>
      <c r="BT22" s="48" t="n"/>
      <c r="BU22" s="48" t="n"/>
      <c r="BV22" s="48" t="n"/>
      <c r="BW22" s="48" t="n"/>
      <c r="BX22" s="48" t="n"/>
      <c r="BY22" s="48" t="n"/>
      <c r="BZ22" s="48" t="n"/>
      <c r="CA22" s="48" t="n"/>
      <c r="CB22" s="48" t="n"/>
      <c r="CC22" s="48" t="n"/>
      <c r="CD22" s="48" t="n"/>
      <c r="CE22" s="48" t="n"/>
      <c r="CF22" s="48" t="n"/>
      <c r="CG22" s="48" t="n"/>
      <c r="CH22" s="48" t="n"/>
      <c r="CI22" s="48" t="n"/>
      <c r="CJ22" s="48" t="n"/>
      <c r="CK22" s="48" t="n"/>
      <c r="CL22" s="48" t="n"/>
      <c r="CM22" s="48" t="n"/>
      <c r="CN22" s="48" t="n"/>
      <c r="CO22" s="48" t="n"/>
      <c r="CP22" s="48" t="n"/>
      <c r="CQ22" s="48" t="n"/>
      <c r="CR22" s="48" t="n"/>
      <c r="CS22" s="48" t="n"/>
      <c r="CT22" s="48" t="n"/>
      <c r="CU22" s="48" t="n"/>
      <c r="CV22" s="48" t="n"/>
      <c r="CW22" s="48" t="n"/>
      <c r="CX22" s="48" t="n"/>
      <c r="CY22" s="48" t="n"/>
      <c r="CZ22" s="48" t="n"/>
      <c r="DA22" s="48" t="n"/>
      <c r="DB22" s="48" t="n"/>
      <c r="DC22" s="48" t="n"/>
      <c r="DD22" s="48" t="n"/>
      <c r="DE22" s="48" t="n"/>
      <c r="DF22" s="48" t="n"/>
      <c r="DG22" s="48" t="n"/>
      <c r="DH22" s="48" t="n"/>
      <c r="DI22" s="48" t="n"/>
      <c r="DJ22" s="48" t="n"/>
      <c r="DK22" s="48" t="n"/>
      <c r="DL22" s="48" t="n"/>
      <c r="DM22" s="48" t="n"/>
      <c r="DN22" s="48" t="n"/>
      <c r="DO22" s="48" t="n"/>
      <c r="DP22" s="48" t="n"/>
      <c r="DQ22" s="48" t="n"/>
      <c r="DR22" s="48" t="n"/>
      <c r="DS22" s="48" t="n"/>
      <c r="DT22" s="48" t="n"/>
      <c r="DU22" s="48" t="n"/>
      <c r="DV22" s="48" t="n"/>
      <c r="DW22" s="48" t="n"/>
      <c r="DX22" s="48" t="n"/>
      <c r="DY22" s="48" t="n"/>
      <c r="DZ22" s="48" t="n"/>
      <c r="EA22" s="48" t="n"/>
      <c r="EB22" s="48" t="n"/>
      <c r="EC22" s="48" t="n"/>
      <c r="ED22" s="48" t="n"/>
      <c r="EE22" s="48" t="n"/>
      <c r="EF22" s="48" t="n"/>
      <c r="EG22" s="48" t="n"/>
      <c r="EH22" s="48" t="n"/>
      <c r="EI22" s="48" t="n"/>
      <c r="EJ22" s="48" t="n"/>
      <c r="EK22" s="48" t="n"/>
      <c r="EL22" s="48" t="n"/>
      <c r="EM22" s="48" t="n"/>
      <c r="EN22" s="48" t="n"/>
      <c r="EO22" s="48" t="n"/>
      <c r="EP22" s="48" t="n"/>
      <c r="EQ22" s="48" t="n"/>
      <c r="ER22" s="48" t="n"/>
      <c r="ES22" s="48" t="n"/>
      <c r="ET22" s="48" t="n"/>
      <c r="EU22" s="48" t="n"/>
      <c r="EV22" s="48" t="n"/>
      <c r="EW22" s="48" t="n"/>
      <c r="EX22" s="48" t="n"/>
      <c r="EY22" s="48" t="n"/>
      <c r="EZ22" s="48" t="n"/>
      <c r="FA22" s="48" t="n"/>
      <c r="FB22" s="48" t="n"/>
      <c r="FC22" s="48" t="n"/>
      <c r="FD22" s="48" t="n"/>
      <c r="FE22" s="48" t="n"/>
      <c r="FF22" s="48" t="n"/>
      <c r="FG22" s="48" t="n"/>
      <c r="FH22" s="48" t="n"/>
      <c r="FI22" s="48" t="n"/>
      <c r="FJ22" s="48" t="n"/>
      <c r="FK22" s="48" t="n"/>
      <c r="FL22" s="48" t="n"/>
      <c r="FM22" s="48" t="n"/>
      <c r="FN22" s="48" t="n"/>
      <c r="FO22" s="48" t="n"/>
      <c r="FP22" s="48" t="n"/>
      <c r="FQ22" s="48" t="n"/>
      <c r="FR22" s="48" t="n"/>
      <c r="FS22" s="48" t="n"/>
      <c r="FT22" s="48" t="n"/>
      <c r="FU22" s="48" t="n"/>
      <c r="FV22" s="48" t="n"/>
      <c r="FW22" s="48" t="n"/>
      <c r="FX22" s="48" t="n"/>
      <c r="FY22" s="48" t="n"/>
      <c r="FZ22" s="48" t="n"/>
      <c r="GA22" s="48" t="n"/>
      <c r="GB22" s="48" t="n"/>
      <c r="GC22" s="48" t="n"/>
      <c r="GD22" s="48" t="n"/>
      <c r="GE22" s="48" t="n"/>
      <c r="GF22" s="48" t="n"/>
      <c r="GG22" s="48" t="n"/>
      <c r="GH22" s="48" t="n"/>
      <c r="GI22" s="48" t="n"/>
      <c r="GJ22" s="48" t="n"/>
      <c r="GK22" s="48" t="n"/>
      <c r="GL22" s="48" t="n"/>
      <c r="GM22" s="48" t="n"/>
      <c r="GN22" s="48" t="n"/>
      <c r="GO22" s="48" t="n"/>
      <c r="GP22" s="48" t="n"/>
      <c r="GQ22" s="48" t="n"/>
      <c r="GR22" s="48" t="n"/>
      <c r="GS22" s="48" t="n"/>
      <c r="GT22" s="48" t="n"/>
      <c r="GU22" s="48" t="n"/>
      <c r="GV22" s="48" t="n"/>
      <c r="GW22" s="48" t="n"/>
      <c r="GX22" s="48" t="n"/>
      <c r="GY22" s="48" t="n"/>
      <c r="GZ22" s="48" t="n"/>
      <c r="HA22" s="48" t="n"/>
      <c r="HB22" s="48" t="n"/>
      <c r="HC22" s="48" t="n"/>
      <c r="HD22" s="48" t="n"/>
      <c r="HE22" s="48" t="n"/>
      <c r="HF22" s="48" t="n"/>
      <c r="HG22" s="48" t="n"/>
      <c r="HH22" s="48" t="n"/>
      <c r="HI22" s="48" t="n"/>
      <c r="HJ22" s="48" t="n"/>
      <c r="HK22" s="48" t="n"/>
      <c r="HL22" s="48" t="n"/>
      <c r="HM22" s="48" t="n"/>
      <c r="HN22" s="48" t="n"/>
      <c r="HO22" s="48" t="n"/>
      <c r="HP22" s="48" t="n"/>
      <c r="HQ22" s="48" t="n"/>
      <c r="HR22" s="48" t="n"/>
      <c r="HS22" s="48" t="n"/>
      <c r="HT22" s="48" t="n"/>
      <c r="HU22" s="48" t="n"/>
      <c r="HV22" s="48" t="n"/>
      <c r="HW22" s="48" t="n"/>
      <c r="HX22" s="48" t="n"/>
      <c r="HY22" s="48" t="n"/>
      <c r="HZ22" s="48" t="n"/>
      <c r="IA22" s="48" t="n"/>
      <c r="IB22" s="48" t="n"/>
      <c r="IC22" s="48" t="n"/>
      <c r="ID22" s="48" t="n"/>
      <c r="IE22" s="48" t="n"/>
      <c r="IF22" s="48" t="n"/>
      <c r="IG22" s="48" t="n"/>
      <c r="IH22" s="48" t="n"/>
      <c r="II22" s="48" t="n"/>
      <c r="IJ22" s="48" t="n"/>
      <c r="IK22" s="48" t="n"/>
      <c r="IL22" s="48" t="n"/>
      <c r="IM22" s="48" t="n"/>
      <c r="IN22" s="48" t="n"/>
      <c r="IO22" s="48" t="n"/>
      <c r="IP22" s="48" t="n"/>
      <c r="IQ22" s="48" t="n"/>
      <c r="IR22" s="48" t="n"/>
      <c r="IS22" s="48" t="n"/>
      <c r="IT22" s="48" t="n"/>
      <c r="IU22" s="48" t="n"/>
      <c r="IV22" s="48" t="n"/>
      <c r="IW22" s="48" t="n"/>
      <c r="IX22" s="48" t="n"/>
      <c r="IY22" s="48" t="n"/>
      <c r="IZ22" s="48" t="n"/>
      <c r="JA22" s="48" t="n"/>
      <c r="JB22" s="48" t="n"/>
      <c r="JC22" s="48" t="n"/>
      <c r="JD22" s="48" t="n"/>
      <c r="JE22" s="48" t="n"/>
      <c r="JF22" s="48" t="n"/>
      <c r="JG22" s="48" t="n"/>
      <c r="JH22" s="48" t="n"/>
      <c r="JI22" s="48" t="n"/>
      <c r="JJ22" s="48" t="n"/>
      <c r="JK22" s="48" t="n"/>
      <c r="JL22" s="48" t="n"/>
      <c r="JM22" s="48" t="n"/>
      <c r="JN22" s="48" t="n"/>
      <c r="JO22" s="48" t="n"/>
      <c r="JP22" s="48" t="n"/>
      <c r="JQ22" s="48" t="n"/>
      <c r="JR22" s="48" t="n"/>
      <c r="JS22" s="48" t="n"/>
      <c r="JT22" s="48" t="n"/>
      <c r="JU22" s="48" t="n"/>
      <c r="JV22" s="48" t="n"/>
      <c r="JW22" s="48" t="n"/>
      <c r="JX22" s="48" t="n"/>
      <c r="JY22" s="48" t="n"/>
      <c r="JZ22" s="48" t="n"/>
      <c r="KA22" s="48" t="n"/>
      <c r="KB22" s="48" t="n"/>
      <c r="KC22" s="48" t="n"/>
      <c r="KD22" s="48" t="n"/>
      <c r="KE22" s="48" t="n"/>
      <c r="KF22" s="48" t="n"/>
      <c r="KG22" s="48" t="n"/>
      <c r="KH22" s="48" t="n"/>
      <c r="KI22" s="48" t="n"/>
      <c r="KJ22" s="48" t="n"/>
      <c r="KK22" s="48" t="n"/>
      <c r="KL22" s="48" t="n"/>
      <c r="KM22" s="48" t="n"/>
      <c r="KN22" s="48" t="n"/>
      <c r="KO22" s="48" t="n"/>
      <c r="KP22" s="48" t="n"/>
      <c r="KQ22" s="48" t="n"/>
      <c r="KR22" s="48" t="n"/>
      <c r="KS22" s="48" t="n"/>
      <c r="KT22" s="48" t="n"/>
      <c r="KU22" s="48" t="n"/>
      <c r="KV22" s="48" t="n"/>
      <c r="KW22" s="48" t="n"/>
      <c r="KX22" s="48" t="n"/>
      <c r="KY22" s="48" t="n"/>
      <c r="KZ22" s="48" t="n"/>
      <c r="LA22" s="48" t="n"/>
      <c r="LB22" s="48" t="n"/>
      <c r="LC22" s="48" t="n"/>
    </row>
    <row r="23" ht="17" customHeight="1">
      <c r="A23" s="11" t="n">
        <v>16</v>
      </c>
      <c r="B23" s="11" t="inlineStr">
        <is>
          <t>ЮГ-2</t>
        </is>
      </c>
      <c r="C23" s="16">
        <f>'ЮГ-2'!B15</f>
        <v/>
      </c>
      <c r="D23" s="11">
        <f>'ЮГ-2'!C15</f>
        <v/>
      </c>
      <c r="E23" s="11">
        <f>'ЮГ-2'!D15</f>
        <v/>
      </c>
      <c r="F23" s="34">
        <f>'ЮГ-2'!J15</f>
        <v/>
      </c>
      <c r="G23" s="34">
        <f>'ЮГ-2'!G18</f>
        <v/>
      </c>
      <c r="H23" s="34">
        <f>'ЮГ-2'!K15</f>
        <v/>
      </c>
      <c r="I23" s="46">
        <f>'ЮГ-2'!H15</f>
        <v/>
      </c>
      <c r="J23" s="11">
        <f>'ЮГ-2'!L15</f>
        <v/>
      </c>
      <c r="K23" s="11">
        <f>'ЮГ-2'!M15</f>
        <v/>
      </c>
      <c r="L23" s="47">
        <f>'ЮГ-2'!N15</f>
        <v/>
      </c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  <c r="AG23" s="48" t="n"/>
      <c r="AH23" s="48" t="n"/>
      <c r="AI23" s="48" t="n"/>
      <c r="AJ23" s="48" t="n"/>
      <c r="AK23" s="48" t="n"/>
      <c r="AL23" s="48" t="n"/>
      <c r="AM23" s="48" t="n"/>
      <c r="AN23" s="48" t="n"/>
      <c r="AO23" s="48" t="n"/>
      <c r="AP23" s="48" t="n"/>
      <c r="AQ23" s="48" t="n"/>
      <c r="AR23" s="48" t="n"/>
      <c r="AS23" s="48" t="n"/>
      <c r="AT23" s="48" t="n"/>
      <c r="AU23" s="48" t="n"/>
      <c r="AV23" s="48" t="n"/>
      <c r="AW23" s="48" t="n"/>
      <c r="AX23" s="48" t="n"/>
      <c r="AY23" s="48" t="n"/>
      <c r="AZ23" s="48" t="n"/>
      <c r="BA23" s="48" t="n"/>
      <c r="BB23" s="48" t="n"/>
      <c r="BC23" s="48" t="n"/>
      <c r="BD23" s="48" t="n"/>
      <c r="BE23" s="48" t="n"/>
      <c r="BF23" s="48" t="n"/>
      <c r="BG23" s="48" t="n"/>
      <c r="BH23" s="48" t="n"/>
      <c r="BI23" s="48" t="n"/>
      <c r="BJ23" s="48" t="n"/>
      <c r="BK23" s="48" t="n"/>
      <c r="BL23" s="48" t="n"/>
      <c r="BM23" s="48" t="n"/>
      <c r="BN23" s="48" t="n"/>
      <c r="BO23" s="48" t="n"/>
      <c r="BP23" s="48" t="n"/>
      <c r="BQ23" s="48" t="n"/>
      <c r="BR23" s="48" t="n"/>
      <c r="BS23" s="48" t="n"/>
      <c r="BT23" s="48" t="n"/>
      <c r="BU23" s="48" t="n"/>
      <c r="BV23" s="48" t="n"/>
      <c r="BW23" s="48" t="n"/>
      <c r="BX23" s="48" t="n"/>
      <c r="BY23" s="48" t="n"/>
      <c r="BZ23" s="48" t="n"/>
      <c r="CA23" s="48" t="n"/>
      <c r="CB23" s="48" t="n"/>
      <c r="CC23" s="48" t="n"/>
      <c r="CD23" s="48" t="n"/>
      <c r="CE23" s="48" t="n"/>
      <c r="CF23" s="48" t="n"/>
      <c r="CG23" s="48" t="n"/>
      <c r="CH23" s="48" t="n"/>
      <c r="CI23" s="48" t="n"/>
      <c r="CJ23" s="48" t="n"/>
      <c r="CK23" s="48" t="n"/>
      <c r="CL23" s="48" t="n"/>
      <c r="CM23" s="48" t="n"/>
      <c r="CN23" s="48" t="n"/>
      <c r="CO23" s="48" t="n"/>
      <c r="CP23" s="48" t="n"/>
      <c r="CQ23" s="48" t="n"/>
      <c r="CR23" s="48" t="n"/>
      <c r="CS23" s="48" t="n"/>
      <c r="CT23" s="48" t="n"/>
      <c r="CU23" s="48" t="n"/>
      <c r="CV23" s="48" t="n"/>
      <c r="CW23" s="48" t="n"/>
      <c r="CX23" s="48" t="n"/>
      <c r="CY23" s="48" t="n"/>
      <c r="CZ23" s="48" t="n"/>
      <c r="DA23" s="48" t="n"/>
      <c r="DB23" s="48" t="n"/>
      <c r="DC23" s="48" t="n"/>
      <c r="DD23" s="48" t="n"/>
      <c r="DE23" s="48" t="n"/>
      <c r="DF23" s="48" t="n"/>
      <c r="DG23" s="48" t="n"/>
      <c r="DH23" s="48" t="n"/>
      <c r="DI23" s="48" t="n"/>
      <c r="DJ23" s="48" t="n"/>
      <c r="DK23" s="48" t="n"/>
      <c r="DL23" s="48" t="n"/>
      <c r="DM23" s="48" t="n"/>
      <c r="DN23" s="48" t="n"/>
      <c r="DO23" s="48" t="n"/>
      <c r="DP23" s="48" t="n"/>
      <c r="DQ23" s="48" t="n"/>
      <c r="DR23" s="48" t="n"/>
      <c r="DS23" s="48" t="n"/>
      <c r="DT23" s="48" t="n"/>
      <c r="DU23" s="48" t="n"/>
      <c r="DV23" s="48" t="n"/>
      <c r="DW23" s="48" t="n"/>
      <c r="DX23" s="48" t="n"/>
      <c r="DY23" s="48" t="n"/>
      <c r="DZ23" s="48" t="n"/>
      <c r="EA23" s="48" t="n"/>
      <c r="EB23" s="48" t="n"/>
      <c r="EC23" s="48" t="n"/>
      <c r="ED23" s="48" t="n"/>
      <c r="EE23" s="48" t="n"/>
      <c r="EF23" s="48" t="n"/>
      <c r="EG23" s="48" t="n"/>
      <c r="EH23" s="48" t="n"/>
      <c r="EI23" s="48" t="n"/>
      <c r="EJ23" s="48" t="n"/>
      <c r="EK23" s="48" t="n"/>
      <c r="EL23" s="48" t="n"/>
      <c r="EM23" s="48" t="n"/>
      <c r="EN23" s="48" t="n"/>
      <c r="EO23" s="48" t="n"/>
      <c r="EP23" s="48" t="n"/>
      <c r="EQ23" s="48" t="n"/>
      <c r="ER23" s="48" t="n"/>
      <c r="ES23" s="48" t="n"/>
      <c r="ET23" s="48" t="n"/>
      <c r="EU23" s="48" t="n"/>
      <c r="EV23" s="48" t="n"/>
      <c r="EW23" s="48" t="n"/>
      <c r="EX23" s="48" t="n"/>
      <c r="EY23" s="48" t="n"/>
      <c r="EZ23" s="48" t="n"/>
      <c r="FA23" s="48" t="n"/>
      <c r="FB23" s="48" t="n"/>
      <c r="FC23" s="48" t="n"/>
      <c r="FD23" s="48" t="n"/>
      <c r="FE23" s="48" t="n"/>
      <c r="FF23" s="48" t="n"/>
      <c r="FG23" s="48" t="n"/>
      <c r="FH23" s="48" t="n"/>
      <c r="FI23" s="48" t="n"/>
      <c r="FJ23" s="48" t="n"/>
      <c r="FK23" s="48" t="n"/>
      <c r="FL23" s="48" t="n"/>
      <c r="FM23" s="48" t="n"/>
      <c r="FN23" s="48" t="n"/>
      <c r="FO23" s="48" t="n"/>
      <c r="FP23" s="48" t="n"/>
      <c r="FQ23" s="48" t="n"/>
      <c r="FR23" s="48" t="n"/>
      <c r="FS23" s="48" t="n"/>
      <c r="FT23" s="48" t="n"/>
      <c r="FU23" s="48" t="n"/>
      <c r="FV23" s="48" t="n"/>
      <c r="FW23" s="48" t="n"/>
      <c r="FX23" s="48" t="n"/>
      <c r="FY23" s="48" t="n"/>
      <c r="FZ23" s="48" t="n"/>
      <c r="GA23" s="48" t="n"/>
      <c r="GB23" s="48" t="n"/>
      <c r="GC23" s="48" t="n"/>
      <c r="GD23" s="48" t="n"/>
      <c r="GE23" s="48" t="n"/>
      <c r="GF23" s="48" t="n"/>
      <c r="GG23" s="48" t="n"/>
      <c r="GH23" s="48" t="n"/>
      <c r="GI23" s="48" t="n"/>
      <c r="GJ23" s="48" t="n"/>
      <c r="GK23" s="48" t="n"/>
      <c r="GL23" s="48" t="n"/>
      <c r="GM23" s="48" t="n"/>
      <c r="GN23" s="48" t="n"/>
      <c r="GO23" s="48" t="n"/>
      <c r="GP23" s="48" t="n"/>
      <c r="GQ23" s="48" t="n"/>
      <c r="GR23" s="48" t="n"/>
      <c r="GS23" s="48" t="n"/>
      <c r="GT23" s="48" t="n"/>
      <c r="GU23" s="48" t="n"/>
      <c r="GV23" s="48" t="n"/>
      <c r="GW23" s="48" t="n"/>
      <c r="GX23" s="48" t="n"/>
      <c r="GY23" s="48" t="n"/>
      <c r="GZ23" s="48" t="n"/>
      <c r="HA23" s="48" t="n"/>
      <c r="HB23" s="48" t="n"/>
      <c r="HC23" s="48" t="n"/>
      <c r="HD23" s="48" t="n"/>
      <c r="HE23" s="48" t="n"/>
      <c r="HF23" s="48" t="n"/>
      <c r="HG23" s="48" t="n"/>
      <c r="HH23" s="48" t="n"/>
      <c r="HI23" s="48" t="n"/>
      <c r="HJ23" s="48" t="n"/>
      <c r="HK23" s="48" t="n"/>
      <c r="HL23" s="48" t="n"/>
      <c r="HM23" s="48" t="n"/>
      <c r="HN23" s="48" t="n"/>
      <c r="HO23" s="48" t="n"/>
      <c r="HP23" s="48" t="n"/>
      <c r="HQ23" s="48" t="n"/>
      <c r="HR23" s="48" t="n"/>
      <c r="HS23" s="48" t="n"/>
      <c r="HT23" s="48" t="n"/>
      <c r="HU23" s="48" t="n"/>
      <c r="HV23" s="48" t="n"/>
      <c r="HW23" s="48" t="n"/>
      <c r="HX23" s="48" t="n"/>
      <c r="HY23" s="48" t="n"/>
      <c r="HZ23" s="48" t="n"/>
      <c r="IA23" s="48" t="n"/>
      <c r="IB23" s="48" t="n"/>
      <c r="IC23" s="48" t="n"/>
      <c r="ID23" s="48" t="n"/>
      <c r="IE23" s="48" t="n"/>
      <c r="IF23" s="48" t="n"/>
      <c r="IG23" s="48" t="n"/>
      <c r="IH23" s="48" t="n"/>
      <c r="II23" s="48" t="n"/>
      <c r="IJ23" s="48" t="n"/>
      <c r="IK23" s="48" t="n"/>
      <c r="IL23" s="48" t="n"/>
      <c r="IM23" s="48" t="n"/>
      <c r="IN23" s="48" t="n"/>
      <c r="IO23" s="48" t="n"/>
      <c r="IP23" s="48" t="n"/>
      <c r="IQ23" s="48" t="n"/>
      <c r="IR23" s="48" t="n"/>
      <c r="IS23" s="48" t="n"/>
      <c r="IT23" s="48" t="n"/>
      <c r="IU23" s="48" t="n"/>
      <c r="IV23" s="48" t="n"/>
      <c r="IW23" s="48" t="n"/>
      <c r="IX23" s="48" t="n"/>
      <c r="IY23" s="48" t="n"/>
      <c r="IZ23" s="48" t="n"/>
      <c r="JA23" s="48" t="n"/>
      <c r="JB23" s="48" t="n"/>
      <c r="JC23" s="48" t="n"/>
      <c r="JD23" s="48" t="n"/>
      <c r="JE23" s="48" t="n"/>
      <c r="JF23" s="48" t="n"/>
      <c r="JG23" s="48" t="n"/>
      <c r="JH23" s="48" t="n"/>
      <c r="JI23" s="48" t="n"/>
      <c r="JJ23" s="48" t="n"/>
      <c r="JK23" s="48" t="n"/>
      <c r="JL23" s="48" t="n"/>
      <c r="JM23" s="48" t="n"/>
      <c r="JN23" s="48" t="n"/>
      <c r="JO23" s="48" t="n"/>
      <c r="JP23" s="48" t="n"/>
      <c r="JQ23" s="48" t="n"/>
      <c r="JR23" s="48" t="n"/>
      <c r="JS23" s="48" t="n"/>
      <c r="JT23" s="48" t="n"/>
      <c r="JU23" s="48" t="n"/>
      <c r="JV23" s="48" t="n"/>
      <c r="JW23" s="48" t="n"/>
      <c r="JX23" s="48" t="n"/>
      <c r="JY23" s="48" t="n"/>
      <c r="JZ23" s="48" t="n"/>
      <c r="KA23" s="48" t="n"/>
      <c r="KB23" s="48" t="n"/>
      <c r="KC23" s="48" t="n"/>
      <c r="KD23" s="48" t="n"/>
      <c r="KE23" s="48" t="n"/>
      <c r="KF23" s="48" t="n"/>
      <c r="KG23" s="48" t="n"/>
      <c r="KH23" s="48" t="n"/>
      <c r="KI23" s="48" t="n"/>
      <c r="KJ23" s="48" t="n"/>
      <c r="KK23" s="48" t="n"/>
      <c r="KL23" s="48" t="n"/>
      <c r="KM23" s="48" t="n"/>
      <c r="KN23" s="48" t="n"/>
      <c r="KO23" s="48" t="n"/>
      <c r="KP23" s="48" t="n"/>
      <c r="KQ23" s="48" t="n"/>
      <c r="KR23" s="48" t="n"/>
      <c r="KS23" s="48" t="n"/>
      <c r="KT23" s="48" t="n"/>
      <c r="KU23" s="48" t="n"/>
      <c r="KV23" s="48" t="n"/>
      <c r="KW23" s="48" t="n"/>
      <c r="KX23" s="48" t="n"/>
      <c r="KY23" s="48" t="n"/>
      <c r="KZ23" s="48" t="n"/>
      <c r="LA23" s="48" t="n"/>
      <c r="LB23" s="48" t="n"/>
      <c r="LC23" s="48" t="n"/>
    </row>
    <row r="24" ht="17" customHeight="1">
      <c r="A24" s="11" t="n">
        <v>17</v>
      </c>
      <c r="B24" s="11" t="inlineStr">
        <is>
          <t>ЮГ-2</t>
        </is>
      </c>
      <c r="C24" s="16">
        <f>'ЮГ-2'!B25</f>
        <v/>
      </c>
      <c r="D24" s="11">
        <f>'ЮГ-2'!C25</f>
        <v/>
      </c>
      <c r="E24" s="11">
        <f>'ЮГ-2'!D25</f>
        <v/>
      </c>
      <c r="F24" s="34">
        <f>'ЮГ-2'!J25</f>
        <v/>
      </c>
      <c r="G24" s="34">
        <f>'ЮГ-2'!G28</f>
        <v/>
      </c>
      <c r="H24" s="34">
        <f>'ЮГ-2'!K25</f>
        <v/>
      </c>
      <c r="I24" s="46">
        <f>'ЮГ-2'!H25</f>
        <v/>
      </c>
      <c r="J24" s="11">
        <f>'ЮГ-2'!L25</f>
        <v/>
      </c>
      <c r="K24" s="11">
        <f>'ЮГ-2'!M25</f>
        <v/>
      </c>
      <c r="L24" s="47">
        <f>'ЮГ-2'!N25</f>
        <v/>
      </c>
      <c r="M24" s="48" t="n"/>
      <c r="N24" s="48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8" t="n"/>
      <c r="X24" s="48" t="n"/>
      <c r="Y24" s="48" t="n"/>
      <c r="Z24" s="48" t="n"/>
      <c r="AA24" s="48" t="n"/>
      <c r="AB24" s="48" t="n"/>
      <c r="AC24" s="48" t="n"/>
      <c r="AD24" s="48" t="n"/>
      <c r="AE24" s="48" t="n"/>
      <c r="AF24" s="48" t="n"/>
      <c r="AG24" s="48" t="n"/>
      <c r="AH24" s="48" t="n"/>
      <c r="AI24" s="48" t="n"/>
      <c r="AJ24" s="48" t="n"/>
      <c r="AK24" s="48" t="n"/>
      <c r="AL24" s="48" t="n"/>
      <c r="AM24" s="48" t="n"/>
      <c r="AN24" s="48" t="n"/>
      <c r="AO24" s="48" t="n"/>
      <c r="AP24" s="48" t="n"/>
      <c r="AQ24" s="48" t="n"/>
      <c r="AR24" s="48" t="n"/>
      <c r="AS24" s="48" t="n"/>
      <c r="AT24" s="48" t="n"/>
      <c r="AU24" s="48" t="n"/>
      <c r="AV24" s="48" t="n"/>
      <c r="AW24" s="48" t="n"/>
      <c r="AX24" s="48" t="n"/>
      <c r="AY24" s="48" t="n"/>
      <c r="AZ24" s="48" t="n"/>
      <c r="BA24" s="48" t="n"/>
      <c r="BB24" s="48" t="n"/>
      <c r="BC24" s="48" t="n"/>
      <c r="BD24" s="48" t="n"/>
      <c r="BE24" s="48" t="n"/>
      <c r="BF24" s="48" t="n"/>
      <c r="BG24" s="48" t="n"/>
      <c r="BH24" s="48" t="n"/>
      <c r="BI24" s="48" t="n"/>
      <c r="BJ24" s="48" t="n"/>
      <c r="BK24" s="48" t="n"/>
      <c r="BL24" s="48" t="n"/>
      <c r="BM24" s="48" t="n"/>
      <c r="BN24" s="48" t="n"/>
      <c r="BO24" s="48" t="n"/>
      <c r="BP24" s="48" t="n"/>
      <c r="BQ24" s="48" t="n"/>
      <c r="BR24" s="48" t="n"/>
      <c r="BS24" s="48" t="n"/>
      <c r="BT24" s="48" t="n"/>
      <c r="BU24" s="48" t="n"/>
      <c r="BV24" s="48" t="n"/>
      <c r="BW24" s="48" t="n"/>
      <c r="BX24" s="48" t="n"/>
      <c r="BY24" s="48" t="n"/>
      <c r="BZ24" s="48" t="n"/>
      <c r="CA24" s="48" t="n"/>
      <c r="CB24" s="48" t="n"/>
      <c r="CC24" s="48" t="n"/>
      <c r="CD24" s="48" t="n"/>
      <c r="CE24" s="48" t="n"/>
      <c r="CF24" s="48" t="n"/>
      <c r="CG24" s="48" t="n"/>
      <c r="CH24" s="48" t="n"/>
      <c r="CI24" s="48" t="n"/>
      <c r="CJ24" s="48" t="n"/>
      <c r="CK24" s="48" t="n"/>
      <c r="CL24" s="48" t="n"/>
      <c r="CM24" s="48" t="n"/>
      <c r="CN24" s="48" t="n"/>
      <c r="CO24" s="48" t="n"/>
      <c r="CP24" s="48" t="n"/>
      <c r="CQ24" s="48" t="n"/>
      <c r="CR24" s="48" t="n"/>
      <c r="CS24" s="48" t="n"/>
      <c r="CT24" s="48" t="n"/>
      <c r="CU24" s="48" t="n"/>
      <c r="CV24" s="48" t="n"/>
      <c r="CW24" s="48" t="n"/>
      <c r="CX24" s="48" t="n"/>
      <c r="CY24" s="48" t="n"/>
      <c r="CZ24" s="48" t="n"/>
      <c r="DA24" s="48" t="n"/>
      <c r="DB24" s="48" t="n"/>
      <c r="DC24" s="48" t="n"/>
      <c r="DD24" s="48" t="n"/>
      <c r="DE24" s="48" t="n"/>
      <c r="DF24" s="48" t="n"/>
      <c r="DG24" s="48" t="n"/>
      <c r="DH24" s="48" t="n"/>
      <c r="DI24" s="48" t="n"/>
      <c r="DJ24" s="48" t="n"/>
      <c r="DK24" s="48" t="n"/>
      <c r="DL24" s="48" t="n"/>
      <c r="DM24" s="48" t="n"/>
      <c r="DN24" s="48" t="n"/>
      <c r="DO24" s="48" t="n"/>
      <c r="DP24" s="48" t="n"/>
      <c r="DQ24" s="48" t="n"/>
      <c r="DR24" s="48" t="n"/>
      <c r="DS24" s="48" t="n"/>
      <c r="DT24" s="48" t="n"/>
      <c r="DU24" s="48" t="n"/>
      <c r="DV24" s="48" t="n"/>
      <c r="DW24" s="48" t="n"/>
      <c r="DX24" s="48" t="n"/>
      <c r="DY24" s="48" t="n"/>
      <c r="DZ24" s="48" t="n"/>
      <c r="EA24" s="48" t="n"/>
      <c r="EB24" s="48" t="n"/>
      <c r="EC24" s="48" t="n"/>
      <c r="ED24" s="48" t="n"/>
      <c r="EE24" s="48" t="n"/>
      <c r="EF24" s="48" t="n"/>
      <c r="EG24" s="48" t="n"/>
      <c r="EH24" s="48" t="n"/>
      <c r="EI24" s="48" t="n"/>
      <c r="EJ24" s="48" t="n"/>
      <c r="EK24" s="48" t="n"/>
      <c r="EL24" s="48" t="n"/>
      <c r="EM24" s="48" t="n"/>
      <c r="EN24" s="48" t="n"/>
      <c r="EO24" s="48" t="n"/>
      <c r="EP24" s="48" t="n"/>
      <c r="EQ24" s="48" t="n"/>
      <c r="ER24" s="48" t="n"/>
      <c r="ES24" s="48" t="n"/>
      <c r="ET24" s="48" t="n"/>
      <c r="EU24" s="48" t="n"/>
      <c r="EV24" s="48" t="n"/>
      <c r="EW24" s="48" t="n"/>
      <c r="EX24" s="48" t="n"/>
      <c r="EY24" s="48" t="n"/>
      <c r="EZ24" s="48" t="n"/>
      <c r="FA24" s="48" t="n"/>
      <c r="FB24" s="48" t="n"/>
      <c r="FC24" s="48" t="n"/>
      <c r="FD24" s="48" t="n"/>
      <c r="FE24" s="48" t="n"/>
      <c r="FF24" s="48" t="n"/>
      <c r="FG24" s="48" t="n"/>
      <c r="FH24" s="48" t="n"/>
      <c r="FI24" s="48" t="n"/>
      <c r="FJ24" s="48" t="n"/>
      <c r="FK24" s="48" t="n"/>
      <c r="FL24" s="48" t="n"/>
      <c r="FM24" s="48" t="n"/>
      <c r="FN24" s="48" t="n"/>
      <c r="FO24" s="48" t="n"/>
      <c r="FP24" s="48" t="n"/>
      <c r="FQ24" s="48" t="n"/>
      <c r="FR24" s="48" t="n"/>
      <c r="FS24" s="48" t="n"/>
      <c r="FT24" s="48" t="n"/>
      <c r="FU24" s="48" t="n"/>
      <c r="FV24" s="48" t="n"/>
      <c r="FW24" s="48" t="n"/>
      <c r="FX24" s="48" t="n"/>
      <c r="FY24" s="48" t="n"/>
      <c r="FZ24" s="48" t="n"/>
      <c r="GA24" s="48" t="n"/>
      <c r="GB24" s="48" t="n"/>
      <c r="GC24" s="48" t="n"/>
      <c r="GD24" s="48" t="n"/>
      <c r="GE24" s="48" t="n"/>
      <c r="GF24" s="48" t="n"/>
      <c r="GG24" s="48" t="n"/>
      <c r="GH24" s="48" t="n"/>
      <c r="GI24" s="48" t="n"/>
      <c r="GJ24" s="48" t="n"/>
      <c r="GK24" s="48" t="n"/>
      <c r="GL24" s="48" t="n"/>
      <c r="GM24" s="48" t="n"/>
      <c r="GN24" s="48" t="n"/>
      <c r="GO24" s="48" t="n"/>
      <c r="GP24" s="48" t="n"/>
      <c r="GQ24" s="48" t="n"/>
      <c r="GR24" s="48" t="n"/>
      <c r="GS24" s="48" t="n"/>
      <c r="GT24" s="48" t="n"/>
      <c r="GU24" s="48" t="n"/>
      <c r="GV24" s="48" t="n"/>
      <c r="GW24" s="48" t="n"/>
      <c r="GX24" s="48" t="n"/>
      <c r="GY24" s="48" t="n"/>
      <c r="GZ24" s="48" t="n"/>
      <c r="HA24" s="48" t="n"/>
      <c r="HB24" s="48" t="n"/>
      <c r="HC24" s="48" t="n"/>
      <c r="HD24" s="48" t="n"/>
      <c r="HE24" s="48" t="n"/>
      <c r="HF24" s="48" t="n"/>
      <c r="HG24" s="48" t="n"/>
      <c r="HH24" s="48" t="n"/>
      <c r="HI24" s="48" t="n"/>
      <c r="HJ24" s="48" t="n"/>
      <c r="HK24" s="48" t="n"/>
      <c r="HL24" s="48" t="n"/>
      <c r="HM24" s="48" t="n"/>
      <c r="HN24" s="48" t="n"/>
      <c r="HO24" s="48" t="n"/>
      <c r="HP24" s="48" t="n"/>
      <c r="HQ24" s="48" t="n"/>
      <c r="HR24" s="48" t="n"/>
      <c r="HS24" s="48" t="n"/>
      <c r="HT24" s="48" t="n"/>
      <c r="HU24" s="48" t="n"/>
      <c r="HV24" s="48" t="n"/>
      <c r="HW24" s="48" t="n"/>
      <c r="HX24" s="48" t="n"/>
      <c r="HY24" s="48" t="n"/>
      <c r="HZ24" s="48" t="n"/>
      <c r="IA24" s="48" t="n"/>
      <c r="IB24" s="48" t="n"/>
      <c r="IC24" s="48" t="n"/>
      <c r="ID24" s="48" t="n"/>
      <c r="IE24" s="48" t="n"/>
      <c r="IF24" s="48" t="n"/>
      <c r="IG24" s="48" t="n"/>
      <c r="IH24" s="48" t="n"/>
      <c r="II24" s="48" t="n"/>
      <c r="IJ24" s="48" t="n"/>
      <c r="IK24" s="48" t="n"/>
      <c r="IL24" s="48" t="n"/>
      <c r="IM24" s="48" t="n"/>
      <c r="IN24" s="48" t="n"/>
      <c r="IO24" s="48" t="n"/>
      <c r="IP24" s="48" t="n"/>
      <c r="IQ24" s="48" t="n"/>
      <c r="IR24" s="48" t="n"/>
      <c r="IS24" s="48" t="n"/>
      <c r="IT24" s="48" t="n"/>
      <c r="IU24" s="48" t="n"/>
      <c r="IV24" s="48" t="n"/>
      <c r="IW24" s="48" t="n"/>
      <c r="IX24" s="48" t="n"/>
      <c r="IY24" s="48" t="n"/>
      <c r="IZ24" s="48" t="n"/>
      <c r="JA24" s="48" t="n"/>
      <c r="JB24" s="48" t="n"/>
      <c r="JC24" s="48" t="n"/>
      <c r="JD24" s="48" t="n"/>
      <c r="JE24" s="48" t="n"/>
      <c r="JF24" s="48" t="n"/>
      <c r="JG24" s="48" t="n"/>
      <c r="JH24" s="48" t="n"/>
      <c r="JI24" s="48" t="n"/>
      <c r="JJ24" s="48" t="n"/>
      <c r="JK24" s="48" t="n"/>
      <c r="JL24" s="48" t="n"/>
      <c r="JM24" s="48" t="n"/>
      <c r="JN24" s="48" t="n"/>
      <c r="JO24" s="48" t="n"/>
      <c r="JP24" s="48" t="n"/>
      <c r="JQ24" s="48" t="n"/>
      <c r="JR24" s="48" t="n"/>
      <c r="JS24" s="48" t="n"/>
      <c r="JT24" s="48" t="n"/>
      <c r="JU24" s="48" t="n"/>
      <c r="JV24" s="48" t="n"/>
      <c r="JW24" s="48" t="n"/>
      <c r="JX24" s="48" t="n"/>
      <c r="JY24" s="48" t="n"/>
      <c r="JZ24" s="48" t="n"/>
      <c r="KA24" s="48" t="n"/>
      <c r="KB24" s="48" t="n"/>
      <c r="KC24" s="48" t="n"/>
      <c r="KD24" s="48" t="n"/>
      <c r="KE24" s="48" t="n"/>
      <c r="KF24" s="48" t="n"/>
      <c r="KG24" s="48" t="n"/>
      <c r="KH24" s="48" t="n"/>
      <c r="KI24" s="48" t="n"/>
      <c r="KJ24" s="48" t="n"/>
      <c r="KK24" s="48" t="n"/>
      <c r="KL24" s="48" t="n"/>
      <c r="KM24" s="48" t="n"/>
      <c r="KN24" s="48" t="n"/>
      <c r="KO24" s="48" t="n"/>
      <c r="KP24" s="48" t="n"/>
      <c r="KQ24" s="48" t="n"/>
      <c r="KR24" s="48" t="n"/>
      <c r="KS24" s="48" t="n"/>
      <c r="KT24" s="48" t="n"/>
      <c r="KU24" s="48" t="n"/>
      <c r="KV24" s="48" t="n"/>
      <c r="KW24" s="48" t="n"/>
      <c r="KX24" s="48" t="n"/>
      <c r="KY24" s="48" t="n"/>
      <c r="KZ24" s="48" t="n"/>
      <c r="LA24" s="48" t="n"/>
      <c r="LB24" s="48" t="n"/>
      <c r="LC24" s="48" t="n"/>
    </row>
    <row r="25" ht="17" customHeight="1">
      <c r="A25" s="11" t="n">
        <v>18</v>
      </c>
      <c r="B25" s="11" t="inlineStr">
        <is>
          <t>ЮГ-2</t>
        </is>
      </c>
      <c r="C25" s="16">
        <f>'ЮГ-2'!B35</f>
        <v/>
      </c>
      <c r="D25" s="11">
        <f>'ЮГ-2'!C35</f>
        <v/>
      </c>
      <c r="E25" s="11">
        <f>'ЮГ-2'!D35</f>
        <v/>
      </c>
      <c r="F25" s="34">
        <f>'ЮГ-2'!J35</f>
        <v/>
      </c>
      <c r="G25" s="34">
        <f>'ЮГ-2'!G38</f>
        <v/>
      </c>
      <c r="H25" s="34">
        <f>'ЮГ-2'!K35</f>
        <v/>
      </c>
      <c r="I25" s="46">
        <f>'ЮГ-2'!H35</f>
        <v/>
      </c>
      <c r="J25" s="11">
        <f>'ЮГ-2'!L35</f>
        <v/>
      </c>
      <c r="K25" s="11">
        <f>'ЮГ-2'!M35</f>
        <v/>
      </c>
      <c r="L25" s="47">
        <f>'ЮГ-2'!N35</f>
        <v/>
      </c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  <c r="AA25" s="48" t="n"/>
      <c r="AB25" s="48" t="n"/>
      <c r="AC25" s="48" t="n"/>
      <c r="AD25" s="48" t="n"/>
      <c r="AE25" s="48" t="n"/>
      <c r="AF25" s="48" t="n"/>
      <c r="AG25" s="48" t="n"/>
      <c r="AH25" s="48" t="n"/>
      <c r="AI25" s="48" t="n"/>
      <c r="AJ25" s="48" t="n"/>
      <c r="AK25" s="48" t="n"/>
      <c r="AL25" s="48" t="n"/>
      <c r="AM25" s="48" t="n"/>
      <c r="AN25" s="48" t="n"/>
      <c r="AO25" s="48" t="n"/>
      <c r="AP25" s="48" t="n"/>
      <c r="AQ25" s="48" t="n"/>
      <c r="AR25" s="48" t="n"/>
      <c r="AS25" s="48" t="n"/>
      <c r="AT25" s="48" t="n"/>
      <c r="AU25" s="48" t="n"/>
      <c r="AV25" s="48" t="n"/>
      <c r="AW25" s="48" t="n"/>
      <c r="AX25" s="48" t="n"/>
      <c r="AY25" s="48" t="n"/>
      <c r="AZ25" s="48" t="n"/>
      <c r="BA25" s="48" t="n"/>
      <c r="BB25" s="48" t="n"/>
      <c r="BC25" s="48" t="n"/>
      <c r="BD25" s="48" t="n"/>
      <c r="BE25" s="48" t="n"/>
      <c r="BF25" s="48" t="n"/>
      <c r="BG25" s="48" t="n"/>
      <c r="BH25" s="48" t="n"/>
      <c r="BI25" s="48" t="n"/>
      <c r="BJ25" s="48" t="n"/>
      <c r="BK25" s="48" t="n"/>
      <c r="BL25" s="48" t="n"/>
      <c r="BM25" s="48" t="n"/>
      <c r="BN25" s="48" t="n"/>
      <c r="BO25" s="48" t="n"/>
      <c r="BP25" s="48" t="n"/>
      <c r="BQ25" s="48" t="n"/>
      <c r="BR25" s="48" t="n"/>
      <c r="BS25" s="48" t="n"/>
      <c r="BT25" s="48" t="n"/>
      <c r="BU25" s="48" t="n"/>
      <c r="BV25" s="48" t="n"/>
      <c r="BW25" s="48" t="n"/>
      <c r="BX25" s="48" t="n"/>
      <c r="BY25" s="48" t="n"/>
      <c r="BZ25" s="48" t="n"/>
      <c r="CA25" s="48" t="n"/>
      <c r="CB25" s="48" t="n"/>
      <c r="CC25" s="48" t="n"/>
      <c r="CD25" s="48" t="n"/>
      <c r="CE25" s="48" t="n"/>
      <c r="CF25" s="48" t="n"/>
      <c r="CG25" s="48" t="n"/>
      <c r="CH25" s="48" t="n"/>
      <c r="CI25" s="48" t="n"/>
      <c r="CJ25" s="48" t="n"/>
      <c r="CK25" s="48" t="n"/>
      <c r="CL25" s="48" t="n"/>
      <c r="CM25" s="48" t="n"/>
      <c r="CN25" s="48" t="n"/>
      <c r="CO25" s="48" t="n"/>
      <c r="CP25" s="48" t="n"/>
      <c r="CQ25" s="48" t="n"/>
      <c r="CR25" s="48" t="n"/>
      <c r="CS25" s="48" t="n"/>
      <c r="CT25" s="48" t="n"/>
      <c r="CU25" s="48" t="n"/>
      <c r="CV25" s="48" t="n"/>
      <c r="CW25" s="48" t="n"/>
      <c r="CX25" s="48" t="n"/>
      <c r="CY25" s="48" t="n"/>
      <c r="CZ25" s="48" t="n"/>
      <c r="DA25" s="48" t="n"/>
      <c r="DB25" s="48" t="n"/>
      <c r="DC25" s="48" t="n"/>
      <c r="DD25" s="48" t="n"/>
      <c r="DE25" s="48" t="n"/>
      <c r="DF25" s="48" t="n"/>
      <c r="DG25" s="48" t="n"/>
      <c r="DH25" s="48" t="n"/>
      <c r="DI25" s="48" t="n"/>
      <c r="DJ25" s="48" t="n"/>
      <c r="DK25" s="48" t="n"/>
      <c r="DL25" s="48" t="n"/>
      <c r="DM25" s="48" t="n"/>
      <c r="DN25" s="48" t="n"/>
      <c r="DO25" s="48" t="n"/>
      <c r="DP25" s="48" t="n"/>
      <c r="DQ25" s="48" t="n"/>
      <c r="DR25" s="48" t="n"/>
      <c r="DS25" s="48" t="n"/>
      <c r="DT25" s="48" t="n"/>
      <c r="DU25" s="48" t="n"/>
      <c r="DV25" s="48" t="n"/>
      <c r="DW25" s="48" t="n"/>
      <c r="DX25" s="48" t="n"/>
      <c r="DY25" s="48" t="n"/>
      <c r="DZ25" s="48" t="n"/>
      <c r="EA25" s="48" t="n"/>
      <c r="EB25" s="48" t="n"/>
      <c r="EC25" s="48" t="n"/>
      <c r="ED25" s="48" t="n"/>
      <c r="EE25" s="48" t="n"/>
      <c r="EF25" s="48" t="n"/>
      <c r="EG25" s="48" t="n"/>
      <c r="EH25" s="48" t="n"/>
      <c r="EI25" s="48" t="n"/>
      <c r="EJ25" s="48" t="n"/>
      <c r="EK25" s="48" t="n"/>
      <c r="EL25" s="48" t="n"/>
      <c r="EM25" s="48" t="n"/>
      <c r="EN25" s="48" t="n"/>
      <c r="EO25" s="48" t="n"/>
      <c r="EP25" s="48" t="n"/>
      <c r="EQ25" s="48" t="n"/>
      <c r="ER25" s="48" t="n"/>
      <c r="ES25" s="48" t="n"/>
      <c r="ET25" s="48" t="n"/>
      <c r="EU25" s="48" t="n"/>
      <c r="EV25" s="48" t="n"/>
      <c r="EW25" s="48" t="n"/>
      <c r="EX25" s="48" t="n"/>
      <c r="EY25" s="48" t="n"/>
      <c r="EZ25" s="48" t="n"/>
      <c r="FA25" s="48" t="n"/>
      <c r="FB25" s="48" t="n"/>
      <c r="FC25" s="48" t="n"/>
      <c r="FD25" s="48" t="n"/>
      <c r="FE25" s="48" t="n"/>
      <c r="FF25" s="48" t="n"/>
      <c r="FG25" s="48" t="n"/>
      <c r="FH25" s="48" t="n"/>
      <c r="FI25" s="48" t="n"/>
      <c r="FJ25" s="48" t="n"/>
      <c r="FK25" s="48" t="n"/>
      <c r="FL25" s="48" t="n"/>
      <c r="FM25" s="48" t="n"/>
      <c r="FN25" s="48" t="n"/>
      <c r="FO25" s="48" t="n"/>
      <c r="FP25" s="48" t="n"/>
      <c r="FQ25" s="48" t="n"/>
      <c r="FR25" s="48" t="n"/>
      <c r="FS25" s="48" t="n"/>
      <c r="FT25" s="48" t="n"/>
      <c r="FU25" s="48" t="n"/>
      <c r="FV25" s="48" t="n"/>
      <c r="FW25" s="48" t="n"/>
      <c r="FX25" s="48" t="n"/>
      <c r="FY25" s="48" t="n"/>
      <c r="FZ25" s="48" t="n"/>
      <c r="GA25" s="48" t="n"/>
      <c r="GB25" s="48" t="n"/>
      <c r="GC25" s="48" t="n"/>
      <c r="GD25" s="48" t="n"/>
      <c r="GE25" s="48" t="n"/>
      <c r="GF25" s="48" t="n"/>
      <c r="GG25" s="48" t="n"/>
      <c r="GH25" s="48" t="n"/>
      <c r="GI25" s="48" t="n"/>
      <c r="GJ25" s="48" t="n"/>
      <c r="GK25" s="48" t="n"/>
      <c r="GL25" s="48" t="n"/>
      <c r="GM25" s="48" t="n"/>
      <c r="GN25" s="48" t="n"/>
      <c r="GO25" s="48" t="n"/>
      <c r="GP25" s="48" t="n"/>
      <c r="GQ25" s="48" t="n"/>
      <c r="GR25" s="48" t="n"/>
      <c r="GS25" s="48" t="n"/>
      <c r="GT25" s="48" t="n"/>
      <c r="GU25" s="48" t="n"/>
      <c r="GV25" s="48" t="n"/>
      <c r="GW25" s="48" t="n"/>
      <c r="GX25" s="48" t="n"/>
      <c r="GY25" s="48" t="n"/>
      <c r="GZ25" s="48" t="n"/>
      <c r="HA25" s="48" t="n"/>
      <c r="HB25" s="48" t="n"/>
      <c r="HC25" s="48" t="n"/>
      <c r="HD25" s="48" t="n"/>
      <c r="HE25" s="48" t="n"/>
      <c r="HF25" s="48" t="n"/>
      <c r="HG25" s="48" t="n"/>
      <c r="HH25" s="48" t="n"/>
      <c r="HI25" s="48" t="n"/>
      <c r="HJ25" s="48" t="n"/>
      <c r="HK25" s="48" t="n"/>
      <c r="HL25" s="48" t="n"/>
      <c r="HM25" s="48" t="n"/>
      <c r="HN25" s="48" t="n"/>
      <c r="HO25" s="48" t="n"/>
      <c r="HP25" s="48" t="n"/>
      <c r="HQ25" s="48" t="n"/>
      <c r="HR25" s="48" t="n"/>
      <c r="HS25" s="48" t="n"/>
      <c r="HT25" s="48" t="n"/>
      <c r="HU25" s="48" t="n"/>
      <c r="HV25" s="48" t="n"/>
      <c r="HW25" s="48" t="n"/>
      <c r="HX25" s="48" t="n"/>
      <c r="HY25" s="48" t="n"/>
      <c r="HZ25" s="48" t="n"/>
      <c r="IA25" s="48" t="n"/>
      <c r="IB25" s="48" t="n"/>
      <c r="IC25" s="48" t="n"/>
      <c r="ID25" s="48" t="n"/>
      <c r="IE25" s="48" t="n"/>
      <c r="IF25" s="48" t="n"/>
      <c r="IG25" s="48" t="n"/>
      <c r="IH25" s="48" t="n"/>
      <c r="II25" s="48" t="n"/>
      <c r="IJ25" s="48" t="n"/>
      <c r="IK25" s="48" t="n"/>
      <c r="IL25" s="48" t="n"/>
      <c r="IM25" s="48" t="n"/>
      <c r="IN25" s="48" t="n"/>
      <c r="IO25" s="48" t="n"/>
      <c r="IP25" s="48" t="n"/>
      <c r="IQ25" s="48" t="n"/>
      <c r="IR25" s="48" t="n"/>
      <c r="IS25" s="48" t="n"/>
      <c r="IT25" s="48" t="n"/>
      <c r="IU25" s="48" t="n"/>
      <c r="IV25" s="48" t="n"/>
      <c r="IW25" s="48" t="n"/>
      <c r="IX25" s="48" t="n"/>
      <c r="IY25" s="48" t="n"/>
      <c r="IZ25" s="48" t="n"/>
      <c r="JA25" s="48" t="n"/>
      <c r="JB25" s="48" t="n"/>
      <c r="JC25" s="48" t="n"/>
      <c r="JD25" s="48" t="n"/>
      <c r="JE25" s="48" t="n"/>
      <c r="JF25" s="48" t="n"/>
      <c r="JG25" s="48" t="n"/>
      <c r="JH25" s="48" t="n"/>
      <c r="JI25" s="48" t="n"/>
      <c r="JJ25" s="48" t="n"/>
      <c r="JK25" s="48" t="n"/>
      <c r="JL25" s="48" t="n"/>
      <c r="JM25" s="48" t="n"/>
      <c r="JN25" s="48" t="n"/>
      <c r="JO25" s="48" t="n"/>
      <c r="JP25" s="48" t="n"/>
      <c r="JQ25" s="48" t="n"/>
      <c r="JR25" s="48" t="n"/>
      <c r="JS25" s="48" t="n"/>
      <c r="JT25" s="48" t="n"/>
      <c r="JU25" s="48" t="n"/>
      <c r="JV25" s="48" t="n"/>
      <c r="JW25" s="48" t="n"/>
      <c r="JX25" s="48" t="n"/>
      <c r="JY25" s="48" t="n"/>
      <c r="JZ25" s="48" t="n"/>
      <c r="KA25" s="48" t="n"/>
      <c r="KB25" s="48" t="n"/>
      <c r="KC25" s="48" t="n"/>
      <c r="KD25" s="48" t="n"/>
      <c r="KE25" s="48" t="n"/>
      <c r="KF25" s="48" t="n"/>
      <c r="KG25" s="48" t="n"/>
      <c r="KH25" s="48" t="n"/>
      <c r="KI25" s="48" t="n"/>
      <c r="KJ25" s="48" t="n"/>
      <c r="KK25" s="48" t="n"/>
      <c r="KL25" s="48" t="n"/>
      <c r="KM25" s="48" t="n"/>
      <c r="KN25" s="48" t="n"/>
      <c r="KO25" s="48" t="n"/>
      <c r="KP25" s="48" t="n"/>
      <c r="KQ25" s="48" t="n"/>
      <c r="KR25" s="48" t="n"/>
      <c r="KS25" s="48" t="n"/>
      <c r="KT25" s="48" t="n"/>
      <c r="KU25" s="48" t="n"/>
      <c r="KV25" s="48" t="n"/>
      <c r="KW25" s="48" t="n"/>
      <c r="KX25" s="48" t="n"/>
      <c r="KY25" s="48" t="n"/>
      <c r="KZ25" s="48" t="n"/>
      <c r="LA25" s="48" t="n"/>
      <c r="LB25" s="48" t="n"/>
      <c r="LC25" s="48" t="n"/>
    </row>
    <row r="26" ht="17" customHeight="1">
      <c r="A26" s="11" t="n">
        <v>19</v>
      </c>
      <c r="B26" s="11" t="inlineStr">
        <is>
          <t>ЮГ-2</t>
        </is>
      </c>
      <c r="C26" s="16">
        <f>'ЮГ-2'!B45</f>
        <v/>
      </c>
      <c r="D26" s="11">
        <f>'ЮГ-2'!C45</f>
        <v/>
      </c>
      <c r="E26" s="11">
        <f>'ЮГ-2'!D45</f>
        <v/>
      </c>
      <c r="F26" s="34">
        <f>'ЮГ-2'!J45</f>
        <v/>
      </c>
      <c r="G26" s="34">
        <f>'ЮГ-2'!G48</f>
        <v/>
      </c>
      <c r="H26" s="34">
        <f>'ЮГ-2'!K45</f>
        <v/>
      </c>
      <c r="I26" s="46">
        <f>'ЮГ-2'!H45</f>
        <v/>
      </c>
      <c r="J26" s="11">
        <f>'ЮГ-2'!L45</f>
        <v/>
      </c>
      <c r="K26" s="11">
        <f>'ЮГ-2'!M45</f>
        <v/>
      </c>
      <c r="L26" s="47">
        <f>'ЮГ-2'!N45</f>
        <v/>
      </c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8" t="n"/>
      <c r="AA26" s="48" t="n"/>
      <c r="AB26" s="48" t="n"/>
      <c r="AC26" s="48" t="n"/>
      <c r="AD26" s="48" t="n"/>
      <c r="AE26" s="48" t="n"/>
      <c r="AF26" s="48" t="n"/>
      <c r="AG26" s="48" t="n"/>
      <c r="AH26" s="48" t="n"/>
      <c r="AI26" s="48" t="n"/>
      <c r="AJ26" s="48" t="n"/>
      <c r="AK26" s="48" t="n"/>
      <c r="AL26" s="48" t="n"/>
      <c r="AM26" s="48" t="n"/>
      <c r="AN26" s="48" t="n"/>
      <c r="AO26" s="48" t="n"/>
      <c r="AP26" s="48" t="n"/>
      <c r="AQ26" s="48" t="n"/>
      <c r="AR26" s="48" t="n"/>
      <c r="AS26" s="48" t="n"/>
      <c r="AT26" s="48" t="n"/>
      <c r="AU26" s="48" t="n"/>
      <c r="AV26" s="48" t="n"/>
      <c r="AW26" s="48" t="n"/>
      <c r="AX26" s="48" t="n"/>
      <c r="AY26" s="48" t="n"/>
      <c r="AZ26" s="48" t="n"/>
      <c r="BA26" s="48" t="n"/>
      <c r="BB26" s="48" t="n"/>
      <c r="BC26" s="48" t="n"/>
      <c r="BD26" s="48" t="n"/>
      <c r="BE26" s="48" t="n"/>
      <c r="BF26" s="48" t="n"/>
      <c r="BG26" s="48" t="n"/>
      <c r="BH26" s="48" t="n"/>
      <c r="BI26" s="48" t="n"/>
      <c r="BJ26" s="48" t="n"/>
      <c r="BK26" s="48" t="n"/>
      <c r="BL26" s="48" t="n"/>
      <c r="BM26" s="48" t="n"/>
      <c r="BN26" s="48" t="n"/>
      <c r="BO26" s="48" t="n"/>
      <c r="BP26" s="48" t="n"/>
      <c r="BQ26" s="48" t="n"/>
      <c r="BR26" s="48" t="n"/>
      <c r="BS26" s="48" t="n"/>
      <c r="BT26" s="48" t="n"/>
      <c r="BU26" s="48" t="n"/>
      <c r="BV26" s="48" t="n"/>
      <c r="BW26" s="48" t="n"/>
      <c r="BX26" s="48" t="n"/>
      <c r="BY26" s="48" t="n"/>
      <c r="BZ26" s="48" t="n"/>
      <c r="CA26" s="48" t="n"/>
      <c r="CB26" s="48" t="n"/>
      <c r="CC26" s="48" t="n"/>
      <c r="CD26" s="48" t="n"/>
      <c r="CE26" s="48" t="n"/>
      <c r="CF26" s="48" t="n"/>
      <c r="CG26" s="48" t="n"/>
      <c r="CH26" s="48" t="n"/>
      <c r="CI26" s="48" t="n"/>
      <c r="CJ26" s="48" t="n"/>
      <c r="CK26" s="48" t="n"/>
      <c r="CL26" s="48" t="n"/>
      <c r="CM26" s="48" t="n"/>
      <c r="CN26" s="48" t="n"/>
      <c r="CO26" s="48" t="n"/>
      <c r="CP26" s="48" t="n"/>
      <c r="CQ26" s="48" t="n"/>
      <c r="CR26" s="48" t="n"/>
      <c r="CS26" s="48" t="n"/>
      <c r="CT26" s="48" t="n"/>
      <c r="CU26" s="48" t="n"/>
      <c r="CV26" s="48" t="n"/>
      <c r="CW26" s="48" t="n"/>
      <c r="CX26" s="48" t="n"/>
      <c r="CY26" s="48" t="n"/>
      <c r="CZ26" s="48" t="n"/>
      <c r="DA26" s="48" t="n"/>
      <c r="DB26" s="48" t="n"/>
      <c r="DC26" s="48" t="n"/>
      <c r="DD26" s="48" t="n"/>
      <c r="DE26" s="48" t="n"/>
      <c r="DF26" s="48" t="n"/>
      <c r="DG26" s="48" t="n"/>
      <c r="DH26" s="48" t="n"/>
      <c r="DI26" s="48" t="n"/>
      <c r="DJ26" s="48" t="n"/>
      <c r="DK26" s="48" t="n"/>
      <c r="DL26" s="48" t="n"/>
      <c r="DM26" s="48" t="n"/>
      <c r="DN26" s="48" t="n"/>
      <c r="DO26" s="48" t="n"/>
      <c r="DP26" s="48" t="n"/>
      <c r="DQ26" s="48" t="n"/>
      <c r="DR26" s="48" t="n"/>
      <c r="DS26" s="48" t="n"/>
      <c r="DT26" s="48" t="n"/>
      <c r="DU26" s="48" t="n"/>
      <c r="DV26" s="48" t="n"/>
      <c r="DW26" s="48" t="n"/>
      <c r="DX26" s="48" t="n"/>
      <c r="DY26" s="48" t="n"/>
      <c r="DZ26" s="48" t="n"/>
      <c r="EA26" s="48" t="n"/>
      <c r="EB26" s="48" t="n"/>
      <c r="EC26" s="48" t="n"/>
      <c r="ED26" s="48" t="n"/>
      <c r="EE26" s="48" t="n"/>
      <c r="EF26" s="48" t="n"/>
      <c r="EG26" s="48" t="n"/>
      <c r="EH26" s="48" t="n"/>
      <c r="EI26" s="48" t="n"/>
      <c r="EJ26" s="48" t="n"/>
      <c r="EK26" s="48" t="n"/>
      <c r="EL26" s="48" t="n"/>
      <c r="EM26" s="48" t="n"/>
      <c r="EN26" s="48" t="n"/>
      <c r="EO26" s="48" t="n"/>
      <c r="EP26" s="48" t="n"/>
      <c r="EQ26" s="48" t="n"/>
      <c r="ER26" s="48" t="n"/>
      <c r="ES26" s="48" t="n"/>
      <c r="ET26" s="48" t="n"/>
      <c r="EU26" s="48" t="n"/>
      <c r="EV26" s="48" t="n"/>
      <c r="EW26" s="48" t="n"/>
      <c r="EX26" s="48" t="n"/>
      <c r="EY26" s="48" t="n"/>
      <c r="EZ26" s="48" t="n"/>
      <c r="FA26" s="48" t="n"/>
      <c r="FB26" s="48" t="n"/>
      <c r="FC26" s="48" t="n"/>
      <c r="FD26" s="48" t="n"/>
      <c r="FE26" s="48" t="n"/>
      <c r="FF26" s="48" t="n"/>
      <c r="FG26" s="48" t="n"/>
      <c r="FH26" s="48" t="n"/>
      <c r="FI26" s="48" t="n"/>
      <c r="FJ26" s="48" t="n"/>
      <c r="FK26" s="48" t="n"/>
      <c r="FL26" s="48" t="n"/>
      <c r="FM26" s="48" t="n"/>
      <c r="FN26" s="48" t="n"/>
      <c r="FO26" s="48" t="n"/>
      <c r="FP26" s="48" t="n"/>
      <c r="FQ26" s="48" t="n"/>
      <c r="FR26" s="48" t="n"/>
      <c r="FS26" s="48" t="n"/>
      <c r="FT26" s="48" t="n"/>
      <c r="FU26" s="48" t="n"/>
      <c r="FV26" s="48" t="n"/>
      <c r="FW26" s="48" t="n"/>
      <c r="FX26" s="48" t="n"/>
      <c r="FY26" s="48" t="n"/>
      <c r="FZ26" s="48" t="n"/>
      <c r="GA26" s="48" t="n"/>
      <c r="GB26" s="48" t="n"/>
      <c r="GC26" s="48" t="n"/>
      <c r="GD26" s="48" t="n"/>
      <c r="GE26" s="48" t="n"/>
      <c r="GF26" s="48" t="n"/>
      <c r="GG26" s="48" t="n"/>
      <c r="GH26" s="48" t="n"/>
      <c r="GI26" s="48" t="n"/>
      <c r="GJ26" s="48" t="n"/>
      <c r="GK26" s="48" t="n"/>
      <c r="GL26" s="48" t="n"/>
      <c r="GM26" s="48" t="n"/>
      <c r="GN26" s="48" t="n"/>
      <c r="GO26" s="48" t="n"/>
      <c r="GP26" s="48" t="n"/>
      <c r="GQ26" s="48" t="n"/>
      <c r="GR26" s="48" t="n"/>
      <c r="GS26" s="48" t="n"/>
      <c r="GT26" s="48" t="n"/>
      <c r="GU26" s="48" t="n"/>
      <c r="GV26" s="48" t="n"/>
      <c r="GW26" s="48" t="n"/>
      <c r="GX26" s="48" t="n"/>
      <c r="GY26" s="48" t="n"/>
      <c r="GZ26" s="48" t="n"/>
      <c r="HA26" s="48" t="n"/>
      <c r="HB26" s="48" t="n"/>
      <c r="HC26" s="48" t="n"/>
      <c r="HD26" s="48" t="n"/>
      <c r="HE26" s="48" t="n"/>
      <c r="HF26" s="48" t="n"/>
      <c r="HG26" s="48" t="n"/>
      <c r="HH26" s="48" t="n"/>
      <c r="HI26" s="48" t="n"/>
      <c r="HJ26" s="48" t="n"/>
      <c r="HK26" s="48" t="n"/>
      <c r="HL26" s="48" t="n"/>
      <c r="HM26" s="48" t="n"/>
      <c r="HN26" s="48" t="n"/>
      <c r="HO26" s="48" t="n"/>
      <c r="HP26" s="48" t="n"/>
      <c r="HQ26" s="48" t="n"/>
      <c r="HR26" s="48" t="n"/>
      <c r="HS26" s="48" t="n"/>
      <c r="HT26" s="48" t="n"/>
      <c r="HU26" s="48" t="n"/>
      <c r="HV26" s="48" t="n"/>
      <c r="HW26" s="48" t="n"/>
      <c r="HX26" s="48" t="n"/>
      <c r="HY26" s="48" t="n"/>
      <c r="HZ26" s="48" t="n"/>
      <c r="IA26" s="48" t="n"/>
      <c r="IB26" s="48" t="n"/>
      <c r="IC26" s="48" t="n"/>
      <c r="ID26" s="48" t="n"/>
      <c r="IE26" s="48" t="n"/>
      <c r="IF26" s="48" t="n"/>
      <c r="IG26" s="48" t="n"/>
      <c r="IH26" s="48" t="n"/>
      <c r="II26" s="48" t="n"/>
      <c r="IJ26" s="48" t="n"/>
      <c r="IK26" s="48" t="n"/>
      <c r="IL26" s="48" t="n"/>
      <c r="IM26" s="48" t="n"/>
      <c r="IN26" s="48" t="n"/>
      <c r="IO26" s="48" t="n"/>
      <c r="IP26" s="48" t="n"/>
      <c r="IQ26" s="48" t="n"/>
      <c r="IR26" s="48" t="n"/>
      <c r="IS26" s="48" t="n"/>
      <c r="IT26" s="48" t="n"/>
      <c r="IU26" s="48" t="n"/>
      <c r="IV26" s="48" t="n"/>
      <c r="IW26" s="48" t="n"/>
      <c r="IX26" s="48" t="n"/>
      <c r="IY26" s="48" t="n"/>
      <c r="IZ26" s="48" t="n"/>
      <c r="JA26" s="48" t="n"/>
      <c r="JB26" s="48" t="n"/>
      <c r="JC26" s="48" t="n"/>
      <c r="JD26" s="48" t="n"/>
      <c r="JE26" s="48" t="n"/>
      <c r="JF26" s="48" t="n"/>
      <c r="JG26" s="48" t="n"/>
      <c r="JH26" s="48" t="n"/>
      <c r="JI26" s="48" t="n"/>
      <c r="JJ26" s="48" t="n"/>
      <c r="JK26" s="48" t="n"/>
      <c r="JL26" s="48" t="n"/>
      <c r="JM26" s="48" t="n"/>
      <c r="JN26" s="48" t="n"/>
      <c r="JO26" s="48" t="n"/>
      <c r="JP26" s="48" t="n"/>
      <c r="JQ26" s="48" t="n"/>
      <c r="JR26" s="48" t="n"/>
      <c r="JS26" s="48" t="n"/>
      <c r="JT26" s="48" t="n"/>
      <c r="JU26" s="48" t="n"/>
      <c r="JV26" s="48" t="n"/>
      <c r="JW26" s="48" t="n"/>
      <c r="JX26" s="48" t="n"/>
      <c r="JY26" s="48" t="n"/>
      <c r="JZ26" s="48" t="n"/>
      <c r="KA26" s="48" t="n"/>
      <c r="KB26" s="48" t="n"/>
      <c r="KC26" s="48" t="n"/>
      <c r="KD26" s="48" t="n"/>
      <c r="KE26" s="48" t="n"/>
      <c r="KF26" s="48" t="n"/>
      <c r="KG26" s="48" t="n"/>
      <c r="KH26" s="48" t="n"/>
      <c r="KI26" s="48" t="n"/>
      <c r="KJ26" s="48" t="n"/>
      <c r="KK26" s="48" t="n"/>
      <c r="KL26" s="48" t="n"/>
      <c r="KM26" s="48" t="n"/>
      <c r="KN26" s="48" t="n"/>
      <c r="KO26" s="48" t="n"/>
      <c r="KP26" s="48" t="n"/>
      <c r="KQ26" s="48" t="n"/>
      <c r="KR26" s="48" t="n"/>
      <c r="KS26" s="48" t="n"/>
      <c r="KT26" s="48" t="n"/>
      <c r="KU26" s="48" t="n"/>
      <c r="KV26" s="48" t="n"/>
      <c r="KW26" s="48" t="n"/>
      <c r="KX26" s="48" t="n"/>
      <c r="KY26" s="48" t="n"/>
      <c r="KZ26" s="48" t="n"/>
      <c r="LA26" s="48" t="n"/>
      <c r="LB26" s="48" t="n"/>
      <c r="LC26" s="48" t="n"/>
    </row>
    <row r="27" ht="17" customHeight="1">
      <c r="A27" s="11" t="n">
        <v>20</v>
      </c>
      <c r="B27" s="11" t="inlineStr">
        <is>
          <t>ЮГ-2</t>
        </is>
      </c>
      <c r="C27" s="16">
        <f>'ЮГ-2'!B55</f>
        <v/>
      </c>
      <c r="D27" s="11">
        <f>'ЮГ-2'!C55</f>
        <v/>
      </c>
      <c r="E27" s="11">
        <f>'ЮГ-2'!D55</f>
        <v/>
      </c>
      <c r="F27" s="34">
        <f>'ЮГ-2'!J55</f>
        <v/>
      </c>
      <c r="G27" s="34">
        <f>'ЮГ-2'!G58</f>
        <v/>
      </c>
      <c r="H27" s="34">
        <f>'ЮГ-2'!K55</f>
        <v/>
      </c>
      <c r="I27" s="46">
        <f>'ЮГ-2'!H55</f>
        <v/>
      </c>
      <c r="J27" s="11">
        <f>'ЮГ-2'!L55</f>
        <v/>
      </c>
      <c r="K27" s="11">
        <f>'ЮГ-2'!M55</f>
        <v/>
      </c>
      <c r="L27" s="47">
        <f>'ЮГ-2'!N55</f>
        <v/>
      </c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48" t="n"/>
      <c r="AD27" s="48" t="n"/>
      <c r="AE27" s="48" t="n"/>
      <c r="AF27" s="48" t="n"/>
      <c r="AG27" s="48" t="n"/>
      <c r="AH27" s="48" t="n"/>
      <c r="AI27" s="48" t="n"/>
      <c r="AJ27" s="48" t="n"/>
      <c r="AK27" s="48" t="n"/>
      <c r="AL27" s="48" t="n"/>
      <c r="AM27" s="48" t="n"/>
      <c r="AN27" s="48" t="n"/>
      <c r="AO27" s="48" t="n"/>
      <c r="AP27" s="48" t="n"/>
      <c r="AQ27" s="48" t="n"/>
      <c r="AR27" s="48" t="n"/>
      <c r="AS27" s="48" t="n"/>
      <c r="AT27" s="48" t="n"/>
      <c r="AU27" s="48" t="n"/>
      <c r="AV27" s="48" t="n"/>
      <c r="AW27" s="48" t="n"/>
      <c r="AX27" s="48" t="n"/>
      <c r="AY27" s="48" t="n"/>
      <c r="AZ27" s="48" t="n"/>
      <c r="BA27" s="48" t="n"/>
      <c r="BB27" s="48" t="n"/>
      <c r="BC27" s="48" t="n"/>
      <c r="BD27" s="48" t="n"/>
      <c r="BE27" s="48" t="n"/>
      <c r="BF27" s="48" t="n"/>
      <c r="BG27" s="48" t="n"/>
      <c r="BH27" s="48" t="n"/>
      <c r="BI27" s="48" t="n"/>
      <c r="BJ27" s="48" t="n"/>
      <c r="BK27" s="48" t="n"/>
      <c r="BL27" s="48" t="n"/>
      <c r="BM27" s="48" t="n"/>
      <c r="BN27" s="48" t="n"/>
      <c r="BO27" s="48" t="n"/>
      <c r="BP27" s="48" t="n"/>
      <c r="BQ27" s="48" t="n"/>
      <c r="BR27" s="48" t="n"/>
      <c r="BS27" s="48" t="n"/>
      <c r="BT27" s="48" t="n"/>
      <c r="BU27" s="48" t="n"/>
      <c r="BV27" s="48" t="n"/>
      <c r="BW27" s="48" t="n"/>
      <c r="BX27" s="48" t="n"/>
      <c r="BY27" s="48" t="n"/>
      <c r="BZ27" s="48" t="n"/>
      <c r="CA27" s="48" t="n"/>
      <c r="CB27" s="48" t="n"/>
      <c r="CC27" s="48" t="n"/>
      <c r="CD27" s="48" t="n"/>
      <c r="CE27" s="48" t="n"/>
      <c r="CF27" s="48" t="n"/>
      <c r="CG27" s="48" t="n"/>
      <c r="CH27" s="48" t="n"/>
      <c r="CI27" s="48" t="n"/>
      <c r="CJ27" s="48" t="n"/>
      <c r="CK27" s="48" t="n"/>
      <c r="CL27" s="48" t="n"/>
      <c r="CM27" s="48" t="n"/>
      <c r="CN27" s="48" t="n"/>
      <c r="CO27" s="48" t="n"/>
      <c r="CP27" s="48" t="n"/>
      <c r="CQ27" s="48" t="n"/>
      <c r="CR27" s="48" t="n"/>
      <c r="CS27" s="48" t="n"/>
      <c r="CT27" s="48" t="n"/>
      <c r="CU27" s="48" t="n"/>
      <c r="CV27" s="48" t="n"/>
      <c r="CW27" s="48" t="n"/>
      <c r="CX27" s="48" t="n"/>
      <c r="CY27" s="48" t="n"/>
      <c r="CZ27" s="48" t="n"/>
      <c r="DA27" s="48" t="n"/>
      <c r="DB27" s="48" t="n"/>
      <c r="DC27" s="48" t="n"/>
      <c r="DD27" s="48" t="n"/>
      <c r="DE27" s="48" t="n"/>
      <c r="DF27" s="48" t="n"/>
      <c r="DG27" s="48" t="n"/>
      <c r="DH27" s="48" t="n"/>
      <c r="DI27" s="48" t="n"/>
      <c r="DJ27" s="48" t="n"/>
      <c r="DK27" s="48" t="n"/>
      <c r="DL27" s="48" t="n"/>
      <c r="DM27" s="48" t="n"/>
      <c r="DN27" s="48" t="n"/>
      <c r="DO27" s="48" t="n"/>
      <c r="DP27" s="48" t="n"/>
      <c r="DQ27" s="48" t="n"/>
      <c r="DR27" s="48" t="n"/>
      <c r="DS27" s="48" t="n"/>
      <c r="DT27" s="48" t="n"/>
      <c r="DU27" s="48" t="n"/>
      <c r="DV27" s="48" t="n"/>
      <c r="DW27" s="48" t="n"/>
      <c r="DX27" s="48" t="n"/>
      <c r="DY27" s="48" t="n"/>
      <c r="DZ27" s="48" t="n"/>
      <c r="EA27" s="48" t="n"/>
      <c r="EB27" s="48" t="n"/>
      <c r="EC27" s="48" t="n"/>
      <c r="ED27" s="48" t="n"/>
      <c r="EE27" s="48" t="n"/>
      <c r="EF27" s="48" t="n"/>
      <c r="EG27" s="48" t="n"/>
      <c r="EH27" s="48" t="n"/>
      <c r="EI27" s="48" t="n"/>
      <c r="EJ27" s="48" t="n"/>
      <c r="EK27" s="48" t="n"/>
      <c r="EL27" s="48" t="n"/>
      <c r="EM27" s="48" t="n"/>
      <c r="EN27" s="48" t="n"/>
      <c r="EO27" s="48" t="n"/>
      <c r="EP27" s="48" t="n"/>
      <c r="EQ27" s="48" t="n"/>
      <c r="ER27" s="48" t="n"/>
      <c r="ES27" s="48" t="n"/>
      <c r="ET27" s="48" t="n"/>
      <c r="EU27" s="48" t="n"/>
      <c r="EV27" s="48" t="n"/>
      <c r="EW27" s="48" t="n"/>
      <c r="EX27" s="48" t="n"/>
      <c r="EY27" s="48" t="n"/>
      <c r="EZ27" s="48" t="n"/>
      <c r="FA27" s="48" t="n"/>
      <c r="FB27" s="48" t="n"/>
      <c r="FC27" s="48" t="n"/>
      <c r="FD27" s="48" t="n"/>
      <c r="FE27" s="48" t="n"/>
      <c r="FF27" s="48" t="n"/>
      <c r="FG27" s="48" t="n"/>
      <c r="FH27" s="48" t="n"/>
      <c r="FI27" s="48" t="n"/>
      <c r="FJ27" s="48" t="n"/>
      <c r="FK27" s="48" t="n"/>
      <c r="FL27" s="48" t="n"/>
      <c r="FM27" s="48" t="n"/>
      <c r="FN27" s="48" t="n"/>
      <c r="FO27" s="48" t="n"/>
      <c r="FP27" s="48" t="n"/>
      <c r="FQ27" s="48" t="n"/>
      <c r="FR27" s="48" t="n"/>
      <c r="FS27" s="48" t="n"/>
      <c r="FT27" s="48" t="n"/>
      <c r="FU27" s="48" t="n"/>
      <c r="FV27" s="48" t="n"/>
      <c r="FW27" s="48" t="n"/>
      <c r="FX27" s="48" t="n"/>
      <c r="FY27" s="48" t="n"/>
      <c r="FZ27" s="48" t="n"/>
      <c r="GA27" s="48" t="n"/>
      <c r="GB27" s="48" t="n"/>
      <c r="GC27" s="48" t="n"/>
      <c r="GD27" s="48" t="n"/>
      <c r="GE27" s="48" t="n"/>
      <c r="GF27" s="48" t="n"/>
      <c r="GG27" s="48" t="n"/>
      <c r="GH27" s="48" t="n"/>
      <c r="GI27" s="48" t="n"/>
      <c r="GJ27" s="48" t="n"/>
      <c r="GK27" s="48" t="n"/>
      <c r="GL27" s="48" t="n"/>
      <c r="GM27" s="48" t="n"/>
      <c r="GN27" s="48" t="n"/>
      <c r="GO27" s="48" t="n"/>
      <c r="GP27" s="48" t="n"/>
      <c r="GQ27" s="48" t="n"/>
      <c r="GR27" s="48" t="n"/>
      <c r="GS27" s="48" t="n"/>
      <c r="GT27" s="48" t="n"/>
      <c r="GU27" s="48" t="n"/>
      <c r="GV27" s="48" t="n"/>
      <c r="GW27" s="48" t="n"/>
      <c r="GX27" s="48" t="n"/>
      <c r="GY27" s="48" t="n"/>
      <c r="GZ27" s="48" t="n"/>
      <c r="HA27" s="48" t="n"/>
      <c r="HB27" s="48" t="n"/>
      <c r="HC27" s="48" t="n"/>
      <c r="HD27" s="48" t="n"/>
      <c r="HE27" s="48" t="n"/>
      <c r="HF27" s="48" t="n"/>
      <c r="HG27" s="48" t="n"/>
      <c r="HH27" s="48" t="n"/>
      <c r="HI27" s="48" t="n"/>
      <c r="HJ27" s="48" t="n"/>
      <c r="HK27" s="48" t="n"/>
      <c r="HL27" s="48" t="n"/>
      <c r="HM27" s="48" t="n"/>
      <c r="HN27" s="48" t="n"/>
      <c r="HO27" s="48" t="n"/>
      <c r="HP27" s="48" t="n"/>
      <c r="HQ27" s="48" t="n"/>
      <c r="HR27" s="48" t="n"/>
      <c r="HS27" s="48" t="n"/>
      <c r="HT27" s="48" t="n"/>
      <c r="HU27" s="48" t="n"/>
      <c r="HV27" s="48" t="n"/>
      <c r="HW27" s="48" t="n"/>
      <c r="HX27" s="48" t="n"/>
      <c r="HY27" s="48" t="n"/>
      <c r="HZ27" s="48" t="n"/>
      <c r="IA27" s="48" t="n"/>
      <c r="IB27" s="48" t="n"/>
      <c r="IC27" s="48" t="n"/>
      <c r="ID27" s="48" t="n"/>
      <c r="IE27" s="48" t="n"/>
      <c r="IF27" s="48" t="n"/>
      <c r="IG27" s="48" t="n"/>
      <c r="IH27" s="48" t="n"/>
      <c r="II27" s="48" t="n"/>
      <c r="IJ27" s="48" t="n"/>
      <c r="IK27" s="48" t="n"/>
      <c r="IL27" s="48" t="n"/>
      <c r="IM27" s="48" t="n"/>
      <c r="IN27" s="48" t="n"/>
      <c r="IO27" s="48" t="n"/>
      <c r="IP27" s="48" t="n"/>
      <c r="IQ27" s="48" t="n"/>
      <c r="IR27" s="48" t="n"/>
      <c r="IS27" s="48" t="n"/>
      <c r="IT27" s="48" t="n"/>
      <c r="IU27" s="48" t="n"/>
      <c r="IV27" s="48" t="n"/>
      <c r="IW27" s="48" t="n"/>
      <c r="IX27" s="48" t="n"/>
      <c r="IY27" s="48" t="n"/>
      <c r="IZ27" s="48" t="n"/>
      <c r="JA27" s="48" t="n"/>
      <c r="JB27" s="48" t="n"/>
      <c r="JC27" s="48" t="n"/>
      <c r="JD27" s="48" t="n"/>
      <c r="JE27" s="48" t="n"/>
      <c r="JF27" s="48" t="n"/>
      <c r="JG27" s="48" t="n"/>
      <c r="JH27" s="48" t="n"/>
      <c r="JI27" s="48" t="n"/>
      <c r="JJ27" s="48" t="n"/>
      <c r="JK27" s="48" t="n"/>
      <c r="JL27" s="48" t="n"/>
      <c r="JM27" s="48" t="n"/>
      <c r="JN27" s="48" t="n"/>
      <c r="JO27" s="48" t="n"/>
      <c r="JP27" s="48" t="n"/>
      <c r="JQ27" s="48" t="n"/>
      <c r="JR27" s="48" t="n"/>
      <c r="JS27" s="48" t="n"/>
      <c r="JT27" s="48" t="n"/>
      <c r="JU27" s="48" t="n"/>
      <c r="JV27" s="48" t="n"/>
      <c r="JW27" s="48" t="n"/>
      <c r="JX27" s="48" t="n"/>
      <c r="JY27" s="48" t="n"/>
      <c r="JZ27" s="48" t="n"/>
      <c r="KA27" s="48" t="n"/>
      <c r="KB27" s="48" t="n"/>
      <c r="KC27" s="48" t="n"/>
      <c r="KD27" s="48" t="n"/>
      <c r="KE27" s="48" t="n"/>
      <c r="KF27" s="48" t="n"/>
      <c r="KG27" s="48" t="n"/>
      <c r="KH27" s="48" t="n"/>
      <c r="KI27" s="48" t="n"/>
      <c r="KJ27" s="48" t="n"/>
      <c r="KK27" s="48" t="n"/>
      <c r="KL27" s="48" t="n"/>
      <c r="KM27" s="48" t="n"/>
      <c r="KN27" s="48" t="n"/>
      <c r="KO27" s="48" t="n"/>
      <c r="KP27" s="48" t="n"/>
      <c r="KQ27" s="48" t="n"/>
      <c r="KR27" s="48" t="n"/>
      <c r="KS27" s="48" t="n"/>
      <c r="KT27" s="48" t="n"/>
      <c r="KU27" s="48" t="n"/>
      <c r="KV27" s="48" t="n"/>
      <c r="KW27" s="48" t="n"/>
      <c r="KX27" s="48" t="n"/>
      <c r="KY27" s="48" t="n"/>
      <c r="KZ27" s="48" t="n"/>
      <c r="LA27" s="48" t="n"/>
      <c r="LB27" s="48" t="n"/>
      <c r="LC27" s="48" t="n"/>
    </row>
    <row r="28" ht="17" customHeight="1">
      <c r="A28" s="11" t="n">
        <v>21</v>
      </c>
      <c r="B28" s="11" t="inlineStr">
        <is>
          <t>ЮГ-2</t>
        </is>
      </c>
      <c r="C28" s="16">
        <f>'ЮГ-2'!B65</f>
        <v/>
      </c>
      <c r="D28" s="11">
        <f>'ЮГ-2'!C65</f>
        <v/>
      </c>
      <c r="E28" s="11">
        <f>'ЮГ-2'!D65</f>
        <v/>
      </c>
      <c r="F28" s="34">
        <f>'ЮГ-2'!J65</f>
        <v/>
      </c>
      <c r="G28" s="34">
        <f>'ЮГ-2'!G68</f>
        <v/>
      </c>
      <c r="H28" s="34">
        <f>'ЮГ-2'!K65</f>
        <v/>
      </c>
      <c r="I28" s="46">
        <f>'ЮГ-2'!H65</f>
        <v/>
      </c>
      <c r="J28" s="11">
        <f>'ЮГ-2'!L65</f>
        <v/>
      </c>
      <c r="K28" s="11">
        <f>'ЮГ-2'!M65</f>
        <v/>
      </c>
      <c r="L28" s="47">
        <f>'ЮГ-2'!N65</f>
        <v/>
      </c>
      <c r="M28" s="48" t="n"/>
      <c r="N28" s="48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48" t="n"/>
      <c r="Y28" s="48" t="n"/>
      <c r="Z28" s="48" t="n"/>
      <c r="AA28" s="48" t="n"/>
      <c r="AB28" s="48" t="n"/>
      <c r="AC28" s="48" t="n"/>
      <c r="AD28" s="48" t="n"/>
      <c r="AE28" s="48" t="n"/>
      <c r="AF28" s="48" t="n"/>
      <c r="AG28" s="48" t="n"/>
      <c r="AH28" s="48" t="n"/>
      <c r="AI28" s="48" t="n"/>
      <c r="AJ28" s="48" t="n"/>
      <c r="AK28" s="48" t="n"/>
      <c r="AL28" s="48" t="n"/>
      <c r="AM28" s="48" t="n"/>
      <c r="AN28" s="48" t="n"/>
      <c r="AO28" s="48" t="n"/>
      <c r="AP28" s="48" t="n"/>
      <c r="AQ28" s="48" t="n"/>
      <c r="AR28" s="48" t="n"/>
      <c r="AS28" s="48" t="n"/>
      <c r="AT28" s="48" t="n"/>
      <c r="AU28" s="48" t="n"/>
      <c r="AV28" s="48" t="n"/>
      <c r="AW28" s="48" t="n"/>
      <c r="AX28" s="48" t="n"/>
      <c r="AY28" s="48" t="n"/>
      <c r="AZ28" s="48" t="n"/>
      <c r="BA28" s="48" t="n"/>
      <c r="BB28" s="48" t="n"/>
      <c r="BC28" s="48" t="n"/>
      <c r="BD28" s="48" t="n"/>
      <c r="BE28" s="48" t="n"/>
      <c r="BF28" s="48" t="n"/>
      <c r="BG28" s="48" t="n"/>
      <c r="BH28" s="48" t="n"/>
      <c r="BI28" s="48" t="n"/>
      <c r="BJ28" s="48" t="n"/>
      <c r="BK28" s="48" t="n"/>
      <c r="BL28" s="48" t="n"/>
      <c r="BM28" s="48" t="n"/>
      <c r="BN28" s="48" t="n"/>
      <c r="BO28" s="48" t="n"/>
      <c r="BP28" s="48" t="n"/>
      <c r="BQ28" s="48" t="n"/>
      <c r="BR28" s="48" t="n"/>
      <c r="BS28" s="48" t="n"/>
      <c r="BT28" s="48" t="n"/>
      <c r="BU28" s="48" t="n"/>
      <c r="BV28" s="48" t="n"/>
      <c r="BW28" s="48" t="n"/>
      <c r="BX28" s="48" t="n"/>
      <c r="BY28" s="48" t="n"/>
      <c r="BZ28" s="48" t="n"/>
      <c r="CA28" s="48" t="n"/>
      <c r="CB28" s="48" t="n"/>
      <c r="CC28" s="48" t="n"/>
      <c r="CD28" s="48" t="n"/>
      <c r="CE28" s="48" t="n"/>
      <c r="CF28" s="48" t="n"/>
      <c r="CG28" s="48" t="n"/>
      <c r="CH28" s="48" t="n"/>
      <c r="CI28" s="48" t="n"/>
      <c r="CJ28" s="48" t="n"/>
      <c r="CK28" s="48" t="n"/>
      <c r="CL28" s="48" t="n"/>
      <c r="CM28" s="48" t="n"/>
      <c r="CN28" s="48" t="n"/>
      <c r="CO28" s="48" t="n"/>
      <c r="CP28" s="48" t="n"/>
      <c r="CQ28" s="48" t="n"/>
      <c r="CR28" s="48" t="n"/>
      <c r="CS28" s="48" t="n"/>
      <c r="CT28" s="48" t="n"/>
      <c r="CU28" s="48" t="n"/>
      <c r="CV28" s="48" t="n"/>
      <c r="CW28" s="48" t="n"/>
      <c r="CX28" s="48" t="n"/>
      <c r="CY28" s="48" t="n"/>
      <c r="CZ28" s="48" t="n"/>
      <c r="DA28" s="48" t="n"/>
      <c r="DB28" s="48" t="n"/>
      <c r="DC28" s="48" t="n"/>
      <c r="DD28" s="48" t="n"/>
      <c r="DE28" s="48" t="n"/>
      <c r="DF28" s="48" t="n"/>
      <c r="DG28" s="48" t="n"/>
      <c r="DH28" s="48" t="n"/>
      <c r="DI28" s="48" t="n"/>
      <c r="DJ28" s="48" t="n"/>
      <c r="DK28" s="48" t="n"/>
      <c r="DL28" s="48" t="n"/>
      <c r="DM28" s="48" t="n"/>
      <c r="DN28" s="48" t="n"/>
      <c r="DO28" s="48" t="n"/>
      <c r="DP28" s="48" t="n"/>
      <c r="DQ28" s="48" t="n"/>
      <c r="DR28" s="48" t="n"/>
      <c r="DS28" s="48" t="n"/>
      <c r="DT28" s="48" t="n"/>
      <c r="DU28" s="48" t="n"/>
      <c r="DV28" s="48" t="n"/>
      <c r="DW28" s="48" t="n"/>
      <c r="DX28" s="48" t="n"/>
      <c r="DY28" s="48" t="n"/>
      <c r="DZ28" s="48" t="n"/>
      <c r="EA28" s="48" t="n"/>
      <c r="EB28" s="48" t="n"/>
      <c r="EC28" s="48" t="n"/>
      <c r="ED28" s="48" t="n"/>
      <c r="EE28" s="48" t="n"/>
      <c r="EF28" s="48" t="n"/>
      <c r="EG28" s="48" t="n"/>
      <c r="EH28" s="48" t="n"/>
      <c r="EI28" s="48" t="n"/>
      <c r="EJ28" s="48" t="n"/>
      <c r="EK28" s="48" t="n"/>
      <c r="EL28" s="48" t="n"/>
      <c r="EM28" s="48" t="n"/>
      <c r="EN28" s="48" t="n"/>
      <c r="EO28" s="48" t="n"/>
      <c r="EP28" s="48" t="n"/>
      <c r="EQ28" s="48" t="n"/>
      <c r="ER28" s="48" t="n"/>
      <c r="ES28" s="48" t="n"/>
      <c r="ET28" s="48" t="n"/>
      <c r="EU28" s="48" t="n"/>
      <c r="EV28" s="48" t="n"/>
      <c r="EW28" s="48" t="n"/>
      <c r="EX28" s="48" t="n"/>
      <c r="EY28" s="48" t="n"/>
      <c r="EZ28" s="48" t="n"/>
      <c r="FA28" s="48" t="n"/>
      <c r="FB28" s="48" t="n"/>
      <c r="FC28" s="48" t="n"/>
      <c r="FD28" s="48" t="n"/>
      <c r="FE28" s="48" t="n"/>
      <c r="FF28" s="48" t="n"/>
      <c r="FG28" s="48" t="n"/>
      <c r="FH28" s="48" t="n"/>
      <c r="FI28" s="48" t="n"/>
      <c r="FJ28" s="48" t="n"/>
      <c r="FK28" s="48" t="n"/>
      <c r="FL28" s="48" t="n"/>
      <c r="FM28" s="48" t="n"/>
      <c r="FN28" s="48" t="n"/>
      <c r="FO28" s="48" t="n"/>
      <c r="FP28" s="48" t="n"/>
      <c r="FQ28" s="48" t="n"/>
      <c r="FR28" s="48" t="n"/>
      <c r="FS28" s="48" t="n"/>
      <c r="FT28" s="48" t="n"/>
      <c r="FU28" s="48" t="n"/>
      <c r="FV28" s="48" t="n"/>
      <c r="FW28" s="48" t="n"/>
      <c r="FX28" s="48" t="n"/>
      <c r="FY28" s="48" t="n"/>
      <c r="FZ28" s="48" t="n"/>
      <c r="GA28" s="48" t="n"/>
      <c r="GB28" s="48" t="n"/>
      <c r="GC28" s="48" t="n"/>
      <c r="GD28" s="48" t="n"/>
      <c r="GE28" s="48" t="n"/>
      <c r="GF28" s="48" t="n"/>
      <c r="GG28" s="48" t="n"/>
      <c r="GH28" s="48" t="n"/>
      <c r="GI28" s="48" t="n"/>
      <c r="GJ28" s="48" t="n"/>
      <c r="GK28" s="48" t="n"/>
      <c r="GL28" s="48" t="n"/>
      <c r="GM28" s="48" t="n"/>
      <c r="GN28" s="48" t="n"/>
      <c r="GO28" s="48" t="n"/>
      <c r="GP28" s="48" t="n"/>
      <c r="GQ28" s="48" t="n"/>
      <c r="GR28" s="48" t="n"/>
      <c r="GS28" s="48" t="n"/>
      <c r="GT28" s="48" t="n"/>
      <c r="GU28" s="48" t="n"/>
      <c r="GV28" s="48" t="n"/>
      <c r="GW28" s="48" t="n"/>
      <c r="GX28" s="48" t="n"/>
      <c r="GY28" s="48" t="n"/>
      <c r="GZ28" s="48" t="n"/>
      <c r="HA28" s="48" t="n"/>
      <c r="HB28" s="48" t="n"/>
      <c r="HC28" s="48" t="n"/>
      <c r="HD28" s="48" t="n"/>
      <c r="HE28" s="48" t="n"/>
      <c r="HF28" s="48" t="n"/>
      <c r="HG28" s="48" t="n"/>
      <c r="HH28" s="48" t="n"/>
      <c r="HI28" s="48" t="n"/>
      <c r="HJ28" s="48" t="n"/>
      <c r="HK28" s="48" t="n"/>
      <c r="HL28" s="48" t="n"/>
      <c r="HM28" s="48" t="n"/>
      <c r="HN28" s="48" t="n"/>
      <c r="HO28" s="48" t="n"/>
      <c r="HP28" s="48" t="n"/>
      <c r="HQ28" s="48" t="n"/>
      <c r="HR28" s="48" t="n"/>
      <c r="HS28" s="48" t="n"/>
      <c r="HT28" s="48" t="n"/>
      <c r="HU28" s="48" t="n"/>
      <c r="HV28" s="48" t="n"/>
      <c r="HW28" s="48" t="n"/>
      <c r="HX28" s="48" t="n"/>
      <c r="HY28" s="48" t="n"/>
      <c r="HZ28" s="48" t="n"/>
      <c r="IA28" s="48" t="n"/>
      <c r="IB28" s="48" t="n"/>
      <c r="IC28" s="48" t="n"/>
      <c r="ID28" s="48" t="n"/>
      <c r="IE28" s="48" t="n"/>
      <c r="IF28" s="48" t="n"/>
      <c r="IG28" s="48" t="n"/>
      <c r="IH28" s="48" t="n"/>
      <c r="II28" s="48" t="n"/>
      <c r="IJ28" s="48" t="n"/>
      <c r="IK28" s="48" t="n"/>
      <c r="IL28" s="48" t="n"/>
      <c r="IM28" s="48" t="n"/>
      <c r="IN28" s="48" t="n"/>
      <c r="IO28" s="48" t="n"/>
      <c r="IP28" s="48" t="n"/>
      <c r="IQ28" s="48" t="n"/>
      <c r="IR28" s="48" t="n"/>
      <c r="IS28" s="48" t="n"/>
      <c r="IT28" s="48" t="n"/>
      <c r="IU28" s="48" t="n"/>
      <c r="IV28" s="48" t="n"/>
      <c r="IW28" s="48" t="n"/>
      <c r="IX28" s="48" t="n"/>
      <c r="IY28" s="48" t="n"/>
      <c r="IZ28" s="48" t="n"/>
      <c r="JA28" s="48" t="n"/>
      <c r="JB28" s="48" t="n"/>
      <c r="JC28" s="48" t="n"/>
      <c r="JD28" s="48" t="n"/>
      <c r="JE28" s="48" t="n"/>
      <c r="JF28" s="48" t="n"/>
      <c r="JG28" s="48" t="n"/>
      <c r="JH28" s="48" t="n"/>
      <c r="JI28" s="48" t="n"/>
      <c r="JJ28" s="48" t="n"/>
      <c r="JK28" s="48" t="n"/>
      <c r="JL28" s="48" t="n"/>
      <c r="JM28" s="48" t="n"/>
      <c r="JN28" s="48" t="n"/>
      <c r="JO28" s="48" t="n"/>
      <c r="JP28" s="48" t="n"/>
      <c r="JQ28" s="48" t="n"/>
      <c r="JR28" s="48" t="n"/>
      <c r="JS28" s="48" t="n"/>
      <c r="JT28" s="48" t="n"/>
      <c r="JU28" s="48" t="n"/>
      <c r="JV28" s="48" t="n"/>
      <c r="JW28" s="48" t="n"/>
      <c r="JX28" s="48" t="n"/>
      <c r="JY28" s="48" t="n"/>
      <c r="JZ28" s="48" t="n"/>
      <c r="KA28" s="48" t="n"/>
      <c r="KB28" s="48" t="n"/>
      <c r="KC28" s="48" t="n"/>
      <c r="KD28" s="48" t="n"/>
      <c r="KE28" s="48" t="n"/>
      <c r="KF28" s="48" t="n"/>
      <c r="KG28" s="48" t="n"/>
      <c r="KH28" s="48" t="n"/>
      <c r="KI28" s="48" t="n"/>
      <c r="KJ28" s="48" t="n"/>
      <c r="KK28" s="48" t="n"/>
      <c r="KL28" s="48" t="n"/>
      <c r="KM28" s="48" t="n"/>
      <c r="KN28" s="48" t="n"/>
      <c r="KO28" s="48" t="n"/>
      <c r="KP28" s="48" t="n"/>
      <c r="KQ28" s="48" t="n"/>
      <c r="KR28" s="48" t="n"/>
      <c r="KS28" s="48" t="n"/>
      <c r="KT28" s="48" t="n"/>
      <c r="KU28" s="48" t="n"/>
      <c r="KV28" s="48" t="n"/>
      <c r="KW28" s="48" t="n"/>
      <c r="KX28" s="48" t="n"/>
      <c r="KY28" s="48" t="n"/>
      <c r="KZ28" s="48" t="n"/>
      <c r="LA28" s="48" t="n"/>
      <c r="LB28" s="48" t="n"/>
      <c r="LC28" s="48" t="n"/>
    </row>
    <row r="29" ht="17" customHeight="1">
      <c r="A29" s="11" t="n">
        <v>22</v>
      </c>
      <c r="B29" s="11" t="inlineStr">
        <is>
          <t>ЮГ-2</t>
        </is>
      </c>
      <c r="C29" s="16">
        <f>'ЮГ-2'!B75</f>
        <v/>
      </c>
      <c r="D29" s="11">
        <f>'ЮГ-2'!C75</f>
        <v/>
      </c>
      <c r="E29" s="11">
        <f>'ЮГ-2'!D75</f>
        <v/>
      </c>
      <c r="F29" s="34">
        <f>'ЮГ-2'!J75</f>
        <v/>
      </c>
      <c r="G29" s="34">
        <f>'ЮГ-2'!G78</f>
        <v/>
      </c>
      <c r="H29" s="34">
        <f>'ЮГ-2'!K75</f>
        <v/>
      </c>
      <c r="I29" s="46">
        <f>'ЮГ-2'!H75</f>
        <v/>
      </c>
      <c r="J29" s="11">
        <f>'ЮГ-2'!L75</f>
        <v/>
      </c>
      <c r="K29" s="11">
        <f>'ЮГ-2'!M75</f>
        <v/>
      </c>
      <c r="L29" s="47">
        <f>'ЮГ-2'!N75</f>
        <v/>
      </c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48" t="n"/>
      <c r="AE29" s="48" t="n"/>
      <c r="AF29" s="48" t="n"/>
      <c r="AG29" s="48" t="n"/>
      <c r="AH29" s="48" t="n"/>
      <c r="AI29" s="48" t="n"/>
      <c r="AJ29" s="48" t="n"/>
      <c r="AK29" s="48" t="n"/>
      <c r="AL29" s="48" t="n"/>
      <c r="AM29" s="48" t="n"/>
      <c r="AN29" s="48" t="n"/>
      <c r="AO29" s="48" t="n"/>
      <c r="AP29" s="48" t="n"/>
      <c r="AQ29" s="48" t="n"/>
      <c r="AR29" s="48" t="n"/>
      <c r="AS29" s="48" t="n"/>
      <c r="AT29" s="48" t="n"/>
      <c r="AU29" s="48" t="n"/>
      <c r="AV29" s="48" t="n"/>
      <c r="AW29" s="48" t="n"/>
      <c r="AX29" s="48" t="n"/>
      <c r="AY29" s="48" t="n"/>
      <c r="AZ29" s="48" t="n"/>
      <c r="BA29" s="48" t="n"/>
      <c r="BB29" s="48" t="n"/>
      <c r="BC29" s="48" t="n"/>
      <c r="BD29" s="48" t="n"/>
      <c r="BE29" s="48" t="n"/>
      <c r="BF29" s="48" t="n"/>
      <c r="BG29" s="48" t="n"/>
      <c r="BH29" s="48" t="n"/>
      <c r="BI29" s="48" t="n"/>
      <c r="BJ29" s="48" t="n"/>
      <c r="BK29" s="48" t="n"/>
      <c r="BL29" s="48" t="n"/>
      <c r="BM29" s="48" t="n"/>
      <c r="BN29" s="48" t="n"/>
      <c r="BO29" s="48" t="n"/>
      <c r="BP29" s="48" t="n"/>
      <c r="BQ29" s="48" t="n"/>
      <c r="BR29" s="48" t="n"/>
      <c r="BS29" s="48" t="n"/>
      <c r="BT29" s="48" t="n"/>
      <c r="BU29" s="48" t="n"/>
      <c r="BV29" s="48" t="n"/>
      <c r="BW29" s="48" t="n"/>
      <c r="BX29" s="48" t="n"/>
      <c r="BY29" s="48" t="n"/>
      <c r="BZ29" s="48" t="n"/>
      <c r="CA29" s="48" t="n"/>
      <c r="CB29" s="48" t="n"/>
      <c r="CC29" s="48" t="n"/>
      <c r="CD29" s="48" t="n"/>
      <c r="CE29" s="48" t="n"/>
      <c r="CF29" s="48" t="n"/>
      <c r="CG29" s="48" t="n"/>
      <c r="CH29" s="48" t="n"/>
      <c r="CI29" s="48" t="n"/>
      <c r="CJ29" s="48" t="n"/>
      <c r="CK29" s="48" t="n"/>
      <c r="CL29" s="48" t="n"/>
      <c r="CM29" s="48" t="n"/>
      <c r="CN29" s="48" t="n"/>
      <c r="CO29" s="48" t="n"/>
      <c r="CP29" s="48" t="n"/>
      <c r="CQ29" s="48" t="n"/>
      <c r="CR29" s="48" t="n"/>
      <c r="CS29" s="48" t="n"/>
      <c r="CT29" s="48" t="n"/>
      <c r="CU29" s="48" t="n"/>
      <c r="CV29" s="48" t="n"/>
      <c r="CW29" s="48" t="n"/>
      <c r="CX29" s="48" t="n"/>
      <c r="CY29" s="48" t="n"/>
      <c r="CZ29" s="48" t="n"/>
      <c r="DA29" s="48" t="n"/>
      <c r="DB29" s="48" t="n"/>
      <c r="DC29" s="48" t="n"/>
      <c r="DD29" s="48" t="n"/>
      <c r="DE29" s="48" t="n"/>
      <c r="DF29" s="48" t="n"/>
      <c r="DG29" s="48" t="n"/>
      <c r="DH29" s="48" t="n"/>
      <c r="DI29" s="48" t="n"/>
      <c r="DJ29" s="48" t="n"/>
      <c r="DK29" s="48" t="n"/>
      <c r="DL29" s="48" t="n"/>
      <c r="DM29" s="48" t="n"/>
      <c r="DN29" s="48" t="n"/>
      <c r="DO29" s="48" t="n"/>
      <c r="DP29" s="48" t="n"/>
      <c r="DQ29" s="48" t="n"/>
      <c r="DR29" s="48" t="n"/>
      <c r="DS29" s="48" t="n"/>
      <c r="DT29" s="48" t="n"/>
      <c r="DU29" s="48" t="n"/>
      <c r="DV29" s="48" t="n"/>
      <c r="DW29" s="48" t="n"/>
      <c r="DX29" s="48" t="n"/>
      <c r="DY29" s="48" t="n"/>
      <c r="DZ29" s="48" t="n"/>
      <c r="EA29" s="48" t="n"/>
      <c r="EB29" s="48" t="n"/>
      <c r="EC29" s="48" t="n"/>
      <c r="ED29" s="48" t="n"/>
      <c r="EE29" s="48" t="n"/>
      <c r="EF29" s="48" t="n"/>
      <c r="EG29" s="48" t="n"/>
      <c r="EH29" s="48" t="n"/>
      <c r="EI29" s="48" t="n"/>
      <c r="EJ29" s="48" t="n"/>
      <c r="EK29" s="48" t="n"/>
      <c r="EL29" s="48" t="n"/>
      <c r="EM29" s="48" t="n"/>
      <c r="EN29" s="48" t="n"/>
      <c r="EO29" s="48" t="n"/>
      <c r="EP29" s="48" t="n"/>
      <c r="EQ29" s="48" t="n"/>
      <c r="ER29" s="48" t="n"/>
      <c r="ES29" s="48" t="n"/>
      <c r="ET29" s="48" t="n"/>
      <c r="EU29" s="48" t="n"/>
      <c r="EV29" s="48" t="n"/>
      <c r="EW29" s="48" t="n"/>
      <c r="EX29" s="48" t="n"/>
      <c r="EY29" s="48" t="n"/>
      <c r="EZ29" s="48" t="n"/>
      <c r="FA29" s="48" t="n"/>
      <c r="FB29" s="48" t="n"/>
      <c r="FC29" s="48" t="n"/>
      <c r="FD29" s="48" t="n"/>
      <c r="FE29" s="48" t="n"/>
      <c r="FF29" s="48" t="n"/>
      <c r="FG29" s="48" t="n"/>
      <c r="FH29" s="48" t="n"/>
      <c r="FI29" s="48" t="n"/>
      <c r="FJ29" s="48" t="n"/>
      <c r="FK29" s="48" t="n"/>
      <c r="FL29" s="48" t="n"/>
      <c r="FM29" s="48" t="n"/>
      <c r="FN29" s="48" t="n"/>
      <c r="FO29" s="48" t="n"/>
      <c r="FP29" s="48" t="n"/>
      <c r="FQ29" s="48" t="n"/>
      <c r="FR29" s="48" t="n"/>
      <c r="FS29" s="48" t="n"/>
      <c r="FT29" s="48" t="n"/>
      <c r="FU29" s="48" t="n"/>
      <c r="FV29" s="48" t="n"/>
      <c r="FW29" s="48" t="n"/>
      <c r="FX29" s="48" t="n"/>
      <c r="FY29" s="48" t="n"/>
      <c r="FZ29" s="48" t="n"/>
      <c r="GA29" s="48" t="n"/>
      <c r="GB29" s="48" t="n"/>
      <c r="GC29" s="48" t="n"/>
      <c r="GD29" s="48" t="n"/>
      <c r="GE29" s="48" t="n"/>
      <c r="GF29" s="48" t="n"/>
      <c r="GG29" s="48" t="n"/>
      <c r="GH29" s="48" t="n"/>
      <c r="GI29" s="48" t="n"/>
      <c r="GJ29" s="48" t="n"/>
      <c r="GK29" s="48" t="n"/>
      <c r="GL29" s="48" t="n"/>
      <c r="GM29" s="48" t="n"/>
      <c r="GN29" s="48" t="n"/>
      <c r="GO29" s="48" t="n"/>
      <c r="GP29" s="48" t="n"/>
      <c r="GQ29" s="48" t="n"/>
      <c r="GR29" s="48" t="n"/>
      <c r="GS29" s="48" t="n"/>
      <c r="GT29" s="48" t="n"/>
      <c r="GU29" s="48" t="n"/>
      <c r="GV29" s="48" t="n"/>
      <c r="GW29" s="48" t="n"/>
      <c r="GX29" s="48" t="n"/>
      <c r="GY29" s="48" t="n"/>
      <c r="GZ29" s="48" t="n"/>
      <c r="HA29" s="48" t="n"/>
      <c r="HB29" s="48" t="n"/>
      <c r="HC29" s="48" t="n"/>
      <c r="HD29" s="48" t="n"/>
      <c r="HE29" s="48" t="n"/>
      <c r="HF29" s="48" t="n"/>
      <c r="HG29" s="48" t="n"/>
      <c r="HH29" s="48" t="n"/>
      <c r="HI29" s="48" t="n"/>
      <c r="HJ29" s="48" t="n"/>
      <c r="HK29" s="48" t="n"/>
      <c r="HL29" s="48" t="n"/>
      <c r="HM29" s="48" t="n"/>
      <c r="HN29" s="48" t="n"/>
      <c r="HO29" s="48" t="n"/>
      <c r="HP29" s="48" t="n"/>
      <c r="HQ29" s="48" t="n"/>
      <c r="HR29" s="48" t="n"/>
      <c r="HS29" s="48" t="n"/>
      <c r="HT29" s="48" t="n"/>
      <c r="HU29" s="48" t="n"/>
      <c r="HV29" s="48" t="n"/>
      <c r="HW29" s="48" t="n"/>
      <c r="HX29" s="48" t="n"/>
      <c r="HY29" s="48" t="n"/>
      <c r="HZ29" s="48" t="n"/>
      <c r="IA29" s="48" t="n"/>
      <c r="IB29" s="48" t="n"/>
      <c r="IC29" s="48" t="n"/>
      <c r="ID29" s="48" t="n"/>
      <c r="IE29" s="48" t="n"/>
      <c r="IF29" s="48" t="n"/>
      <c r="IG29" s="48" t="n"/>
      <c r="IH29" s="48" t="n"/>
      <c r="II29" s="48" t="n"/>
      <c r="IJ29" s="48" t="n"/>
      <c r="IK29" s="48" t="n"/>
      <c r="IL29" s="48" t="n"/>
      <c r="IM29" s="48" t="n"/>
      <c r="IN29" s="48" t="n"/>
      <c r="IO29" s="48" t="n"/>
      <c r="IP29" s="48" t="n"/>
      <c r="IQ29" s="48" t="n"/>
      <c r="IR29" s="48" t="n"/>
      <c r="IS29" s="48" t="n"/>
      <c r="IT29" s="48" t="n"/>
      <c r="IU29" s="48" t="n"/>
      <c r="IV29" s="48" t="n"/>
      <c r="IW29" s="48" t="n"/>
      <c r="IX29" s="48" t="n"/>
      <c r="IY29" s="48" t="n"/>
      <c r="IZ29" s="48" t="n"/>
      <c r="JA29" s="48" t="n"/>
      <c r="JB29" s="48" t="n"/>
      <c r="JC29" s="48" t="n"/>
      <c r="JD29" s="48" t="n"/>
      <c r="JE29" s="48" t="n"/>
      <c r="JF29" s="48" t="n"/>
      <c r="JG29" s="48" t="n"/>
      <c r="JH29" s="48" t="n"/>
      <c r="JI29" s="48" t="n"/>
      <c r="JJ29" s="48" t="n"/>
      <c r="JK29" s="48" t="n"/>
      <c r="JL29" s="48" t="n"/>
      <c r="JM29" s="48" t="n"/>
      <c r="JN29" s="48" t="n"/>
      <c r="JO29" s="48" t="n"/>
      <c r="JP29" s="48" t="n"/>
      <c r="JQ29" s="48" t="n"/>
      <c r="JR29" s="48" t="n"/>
      <c r="JS29" s="48" t="n"/>
      <c r="JT29" s="48" t="n"/>
      <c r="JU29" s="48" t="n"/>
      <c r="JV29" s="48" t="n"/>
      <c r="JW29" s="48" t="n"/>
      <c r="JX29" s="48" t="n"/>
      <c r="JY29" s="48" t="n"/>
      <c r="JZ29" s="48" t="n"/>
      <c r="KA29" s="48" t="n"/>
      <c r="KB29" s="48" t="n"/>
      <c r="KC29" s="48" t="n"/>
      <c r="KD29" s="48" t="n"/>
      <c r="KE29" s="48" t="n"/>
      <c r="KF29" s="48" t="n"/>
      <c r="KG29" s="48" t="n"/>
      <c r="KH29" s="48" t="n"/>
      <c r="KI29" s="48" t="n"/>
      <c r="KJ29" s="48" t="n"/>
      <c r="KK29" s="48" t="n"/>
      <c r="KL29" s="48" t="n"/>
      <c r="KM29" s="48" t="n"/>
      <c r="KN29" s="48" t="n"/>
      <c r="KO29" s="48" t="n"/>
      <c r="KP29" s="48" t="n"/>
      <c r="KQ29" s="48" t="n"/>
      <c r="KR29" s="48" t="n"/>
      <c r="KS29" s="48" t="n"/>
      <c r="KT29" s="48" t="n"/>
      <c r="KU29" s="48" t="n"/>
      <c r="KV29" s="48" t="n"/>
      <c r="KW29" s="48" t="n"/>
      <c r="KX29" s="48" t="n"/>
      <c r="KY29" s="48" t="n"/>
      <c r="KZ29" s="48" t="n"/>
      <c r="LA29" s="48" t="n"/>
      <c r="LB29" s="48" t="n"/>
      <c r="LC29" s="48" t="n"/>
    </row>
    <row r="30" ht="17" customHeight="1">
      <c r="A30" s="11" t="n">
        <v>23</v>
      </c>
      <c r="B30" s="11" t="inlineStr">
        <is>
          <t>ЮГ-2</t>
        </is>
      </c>
      <c r="C30" s="16">
        <f>'ЮГ-2'!B85</f>
        <v/>
      </c>
      <c r="D30" s="11">
        <f>'ЮГ-2'!C85</f>
        <v/>
      </c>
      <c r="E30" s="11">
        <f>'ЮГ-2'!D85</f>
        <v/>
      </c>
      <c r="F30" s="34">
        <f>'ЮГ-2'!J85</f>
        <v/>
      </c>
      <c r="G30" s="34">
        <f>'ЮГ-2'!G88</f>
        <v/>
      </c>
      <c r="H30" s="34">
        <f>'ЮГ-2'!K85</f>
        <v/>
      </c>
      <c r="I30" s="46">
        <f>'ЮГ-2'!H85</f>
        <v/>
      </c>
      <c r="J30" s="11">
        <f>'ЮГ-2'!L85</f>
        <v/>
      </c>
      <c r="K30" s="11">
        <f>'ЮГ-2'!M85</f>
        <v/>
      </c>
      <c r="L30" s="47">
        <f>'ЮГ-2'!N85</f>
        <v/>
      </c>
      <c r="M30" s="48" t="n"/>
      <c r="N30" s="48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48" t="n"/>
      <c r="AG30" s="48" t="n"/>
      <c r="AH30" s="48" t="n"/>
      <c r="AI30" s="48" t="n"/>
      <c r="AJ30" s="48" t="n"/>
      <c r="AK30" s="48" t="n"/>
      <c r="AL30" s="48" t="n"/>
      <c r="AM30" s="48" t="n"/>
      <c r="AN30" s="48" t="n"/>
      <c r="AO30" s="48" t="n"/>
      <c r="AP30" s="48" t="n"/>
      <c r="AQ30" s="48" t="n"/>
      <c r="AR30" s="48" t="n"/>
      <c r="AS30" s="48" t="n"/>
      <c r="AT30" s="48" t="n"/>
      <c r="AU30" s="48" t="n"/>
      <c r="AV30" s="48" t="n"/>
      <c r="AW30" s="48" t="n"/>
      <c r="AX30" s="48" t="n"/>
      <c r="AY30" s="48" t="n"/>
      <c r="AZ30" s="48" t="n"/>
      <c r="BA30" s="48" t="n"/>
      <c r="BB30" s="48" t="n"/>
      <c r="BC30" s="48" t="n"/>
      <c r="BD30" s="48" t="n"/>
      <c r="BE30" s="48" t="n"/>
      <c r="BF30" s="48" t="n"/>
      <c r="BG30" s="48" t="n"/>
      <c r="BH30" s="48" t="n"/>
      <c r="BI30" s="48" t="n"/>
      <c r="BJ30" s="48" t="n"/>
      <c r="BK30" s="48" t="n"/>
      <c r="BL30" s="48" t="n"/>
      <c r="BM30" s="48" t="n"/>
      <c r="BN30" s="48" t="n"/>
      <c r="BO30" s="48" t="n"/>
      <c r="BP30" s="48" t="n"/>
      <c r="BQ30" s="48" t="n"/>
      <c r="BR30" s="48" t="n"/>
      <c r="BS30" s="48" t="n"/>
      <c r="BT30" s="48" t="n"/>
      <c r="BU30" s="48" t="n"/>
      <c r="BV30" s="48" t="n"/>
      <c r="BW30" s="48" t="n"/>
      <c r="BX30" s="48" t="n"/>
      <c r="BY30" s="48" t="n"/>
      <c r="BZ30" s="48" t="n"/>
      <c r="CA30" s="48" t="n"/>
      <c r="CB30" s="48" t="n"/>
      <c r="CC30" s="48" t="n"/>
      <c r="CD30" s="48" t="n"/>
      <c r="CE30" s="48" t="n"/>
      <c r="CF30" s="48" t="n"/>
      <c r="CG30" s="48" t="n"/>
      <c r="CH30" s="48" t="n"/>
      <c r="CI30" s="48" t="n"/>
      <c r="CJ30" s="48" t="n"/>
      <c r="CK30" s="48" t="n"/>
      <c r="CL30" s="48" t="n"/>
      <c r="CM30" s="48" t="n"/>
      <c r="CN30" s="48" t="n"/>
      <c r="CO30" s="48" t="n"/>
      <c r="CP30" s="48" t="n"/>
      <c r="CQ30" s="48" t="n"/>
      <c r="CR30" s="48" t="n"/>
      <c r="CS30" s="48" t="n"/>
      <c r="CT30" s="48" t="n"/>
      <c r="CU30" s="48" t="n"/>
      <c r="CV30" s="48" t="n"/>
      <c r="CW30" s="48" t="n"/>
      <c r="CX30" s="48" t="n"/>
      <c r="CY30" s="48" t="n"/>
      <c r="CZ30" s="48" t="n"/>
      <c r="DA30" s="48" t="n"/>
      <c r="DB30" s="48" t="n"/>
      <c r="DC30" s="48" t="n"/>
      <c r="DD30" s="48" t="n"/>
      <c r="DE30" s="48" t="n"/>
      <c r="DF30" s="48" t="n"/>
      <c r="DG30" s="48" t="n"/>
      <c r="DH30" s="48" t="n"/>
      <c r="DI30" s="48" t="n"/>
      <c r="DJ30" s="48" t="n"/>
      <c r="DK30" s="48" t="n"/>
      <c r="DL30" s="48" t="n"/>
      <c r="DM30" s="48" t="n"/>
      <c r="DN30" s="48" t="n"/>
      <c r="DO30" s="48" t="n"/>
      <c r="DP30" s="48" t="n"/>
      <c r="DQ30" s="48" t="n"/>
      <c r="DR30" s="48" t="n"/>
      <c r="DS30" s="48" t="n"/>
      <c r="DT30" s="48" t="n"/>
      <c r="DU30" s="48" t="n"/>
      <c r="DV30" s="48" t="n"/>
      <c r="DW30" s="48" t="n"/>
      <c r="DX30" s="48" t="n"/>
      <c r="DY30" s="48" t="n"/>
      <c r="DZ30" s="48" t="n"/>
      <c r="EA30" s="48" t="n"/>
      <c r="EB30" s="48" t="n"/>
      <c r="EC30" s="48" t="n"/>
      <c r="ED30" s="48" t="n"/>
      <c r="EE30" s="48" t="n"/>
      <c r="EF30" s="48" t="n"/>
      <c r="EG30" s="48" t="n"/>
      <c r="EH30" s="48" t="n"/>
      <c r="EI30" s="48" t="n"/>
      <c r="EJ30" s="48" t="n"/>
      <c r="EK30" s="48" t="n"/>
      <c r="EL30" s="48" t="n"/>
      <c r="EM30" s="48" t="n"/>
      <c r="EN30" s="48" t="n"/>
      <c r="EO30" s="48" t="n"/>
      <c r="EP30" s="48" t="n"/>
      <c r="EQ30" s="48" t="n"/>
      <c r="ER30" s="48" t="n"/>
      <c r="ES30" s="48" t="n"/>
      <c r="ET30" s="48" t="n"/>
      <c r="EU30" s="48" t="n"/>
      <c r="EV30" s="48" t="n"/>
      <c r="EW30" s="48" t="n"/>
      <c r="EX30" s="48" t="n"/>
      <c r="EY30" s="48" t="n"/>
      <c r="EZ30" s="48" t="n"/>
      <c r="FA30" s="48" t="n"/>
      <c r="FB30" s="48" t="n"/>
      <c r="FC30" s="48" t="n"/>
      <c r="FD30" s="48" t="n"/>
      <c r="FE30" s="48" t="n"/>
      <c r="FF30" s="48" t="n"/>
      <c r="FG30" s="48" t="n"/>
      <c r="FH30" s="48" t="n"/>
      <c r="FI30" s="48" t="n"/>
      <c r="FJ30" s="48" t="n"/>
      <c r="FK30" s="48" t="n"/>
      <c r="FL30" s="48" t="n"/>
      <c r="FM30" s="48" t="n"/>
      <c r="FN30" s="48" t="n"/>
      <c r="FO30" s="48" t="n"/>
      <c r="FP30" s="48" t="n"/>
      <c r="FQ30" s="48" t="n"/>
      <c r="FR30" s="48" t="n"/>
      <c r="FS30" s="48" t="n"/>
      <c r="FT30" s="48" t="n"/>
      <c r="FU30" s="48" t="n"/>
      <c r="FV30" s="48" t="n"/>
      <c r="FW30" s="48" t="n"/>
      <c r="FX30" s="48" t="n"/>
      <c r="FY30" s="48" t="n"/>
      <c r="FZ30" s="48" t="n"/>
      <c r="GA30" s="48" t="n"/>
      <c r="GB30" s="48" t="n"/>
      <c r="GC30" s="48" t="n"/>
      <c r="GD30" s="48" t="n"/>
      <c r="GE30" s="48" t="n"/>
      <c r="GF30" s="48" t="n"/>
      <c r="GG30" s="48" t="n"/>
      <c r="GH30" s="48" t="n"/>
      <c r="GI30" s="48" t="n"/>
      <c r="GJ30" s="48" t="n"/>
      <c r="GK30" s="48" t="n"/>
      <c r="GL30" s="48" t="n"/>
      <c r="GM30" s="48" t="n"/>
      <c r="GN30" s="48" t="n"/>
      <c r="GO30" s="48" t="n"/>
      <c r="GP30" s="48" t="n"/>
      <c r="GQ30" s="48" t="n"/>
      <c r="GR30" s="48" t="n"/>
      <c r="GS30" s="48" t="n"/>
      <c r="GT30" s="48" t="n"/>
      <c r="GU30" s="48" t="n"/>
      <c r="GV30" s="48" t="n"/>
      <c r="GW30" s="48" t="n"/>
      <c r="GX30" s="48" t="n"/>
      <c r="GY30" s="48" t="n"/>
      <c r="GZ30" s="48" t="n"/>
      <c r="HA30" s="48" t="n"/>
      <c r="HB30" s="48" t="n"/>
      <c r="HC30" s="48" t="n"/>
      <c r="HD30" s="48" t="n"/>
      <c r="HE30" s="48" t="n"/>
      <c r="HF30" s="48" t="n"/>
      <c r="HG30" s="48" t="n"/>
      <c r="HH30" s="48" t="n"/>
      <c r="HI30" s="48" t="n"/>
      <c r="HJ30" s="48" t="n"/>
      <c r="HK30" s="48" t="n"/>
      <c r="HL30" s="48" t="n"/>
      <c r="HM30" s="48" t="n"/>
      <c r="HN30" s="48" t="n"/>
      <c r="HO30" s="48" t="n"/>
      <c r="HP30" s="48" t="n"/>
      <c r="HQ30" s="48" t="n"/>
      <c r="HR30" s="48" t="n"/>
      <c r="HS30" s="48" t="n"/>
      <c r="HT30" s="48" t="n"/>
      <c r="HU30" s="48" t="n"/>
      <c r="HV30" s="48" t="n"/>
      <c r="HW30" s="48" t="n"/>
      <c r="HX30" s="48" t="n"/>
      <c r="HY30" s="48" t="n"/>
      <c r="HZ30" s="48" t="n"/>
      <c r="IA30" s="48" t="n"/>
      <c r="IB30" s="48" t="n"/>
      <c r="IC30" s="48" t="n"/>
      <c r="ID30" s="48" t="n"/>
      <c r="IE30" s="48" t="n"/>
      <c r="IF30" s="48" t="n"/>
      <c r="IG30" s="48" t="n"/>
      <c r="IH30" s="48" t="n"/>
      <c r="II30" s="48" t="n"/>
      <c r="IJ30" s="48" t="n"/>
      <c r="IK30" s="48" t="n"/>
      <c r="IL30" s="48" t="n"/>
      <c r="IM30" s="48" t="n"/>
      <c r="IN30" s="48" t="n"/>
      <c r="IO30" s="48" t="n"/>
      <c r="IP30" s="48" t="n"/>
      <c r="IQ30" s="48" t="n"/>
      <c r="IR30" s="48" t="n"/>
      <c r="IS30" s="48" t="n"/>
      <c r="IT30" s="48" t="n"/>
      <c r="IU30" s="48" t="n"/>
      <c r="IV30" s="48" t="n"/>
      <c r="IW30" s="48" t="n"/>
      <c r="IX30" s="48" t="n"/>
      <c r="IY30" s="48" t="n"/>
      <c r="IZ30" s="48" t="n"/>
      <c r="JA30" s="48" t="n"/>
      <c r="JB30" s="48" t="n"/>
      <c r="JC30" s="48" t="n"/>
      <c r="JD30" s="48" t="n"/>
      <c r="JE30" s="48" t="n"/>
      <c r="JF30" s="48" t="n"/>
      <c r="JG30" s="48" t="n"/>
      <c r="JH30" s="48" t="n"/>
      <c r="JI30" s="48" t="n"/>
      <c r="JJ30" s="48" t="n"/>
      <c r="JK30" s="48" t="n"/>
      <c r="JL30" s="48" t="n"/>
      <c r="JM30" s="48" t="n"/>
      <c r="JN30" s="48" t="n"/>
      <c r="JO30" s="48" t="n"/>
      <c r="JP30" s="48" t="n"/>
      <c r="JQ30" s="48" t="n"/>
      <c r="JR30" s="48" t="n"/>
      <c r="JS30" s="48" t="n"/>
      <c r="JT30" s="48" t="n"/>
      <c r="JU30" s="48" t="n"/>
      <c r="JV30" s="48" t="n"/>
      <c r="JW30" s="48" t="n"/>
      <c r="JX30" s="48" t="n"/>
      <c r="JY30" s="48" t="n"/>
      <c r="JZ30" s="48" t="n"/>
      <c r="KA30" s="48" t="n"/>
      <c r="KB30" s="48" t="n"/>
      <c r="KC30" s="48" t="n"/>
      <c r="KD30" s="48" t="n"/>
      <c r="KE30" s="48" t="n"/>
      <c r="KF30" s="48" t="n"/>
      <c r="KG30" s="48" t="n"/>
      <c r="KH30" s="48" t="n"/>
      <c r="KI30" s="48" t="n"/>
      <c r="KJ30" s="48" t="n"/>
      <c r="KK30" s="48" t="n"/>
      <c r="KL30" s="48" t="n"/>
      <c r="KM30" s="48" t="n"/>
      <c r="KN30" s="48" t="n"/>
      <c r="KO30" s="48" t="n"/>
      <c r="KP30" s="48" t="n"/>
      <c r="KQ30" s="48" t="n"/>
      <c r="KR30" s="48" t="n"/>
      <c r="KS30" s="48" t="n"/>
      <c r="KT30" s="48" t="n"/>
      <c r="KU30" s="48" t="n"/>
      <c r="KV30" s="48" t="n"/>
      <c r="KW30" s="48" t="n"/>
      <c r="KX30" s="48" t="n"/>
      <c r="KY30" s="48" t="n"/>
      <c r="KZ30" s="48" t="n"/>
      <c r="LA30" s="48" t="n"/>
      <c r="LB30" s="48" t="n"/>
      <c r="LC30" s="48" t="n"/>
    </row>
    <row r="31" ht="17" customHeight="1">
      <c r="A31" s="11" t="n">
        <v>24</v>
      </c>
      <c r="B31" s="11" t="inlineStr">
        <is>
          <t>ЮГ-2</t>
        </is>
      </c>
      <c r="C31" s="16">
        <f>'ЮГ-2'!B95</f>
        <v/>
      </c>
      <c r="D31" s="11">
        <f>'ЮГ-2'!C95</f>
        <v/>
      </c>
      <c r="E31" s="11">
        <f>'ЮГ-2'!D95</f>
        <v/>
      </c>
      <c r="F31" s="34">
        <f>'ЮГ-2'!J95</f>
        <v/>
      </c>
      <c r="G31" s="34">
        <f>'ЮГ-2'!G98</f>
        <v/>
      </c>
      <c r="H31" s="34">
        <f>'ЮГ-2'!K95</f>
        <v/>
      </c>
      <c r="I31" s="46">
        <f>'ЮГ-2'!H95</f>
        <v/>
      </c>
      <c r="J31" s="11">
        <f>'ЮГ-2'!L95</f>
        <v/>
      </c>
      <c r="K31" s="11">
        <f>'ЮГ-2'!M95</f>
        <v/>
      </c>
      <c r="L31" s="47">
        <f>'ЮГ-2'!N95</f>
        <v/>
      </c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48" t="n"/>
      <c r="AG31" s="48" t="n"/>
      <c r="AH31" s="48" t="n"/>
      <c r="AI31" s="48" t="n"/>
      <c r="AJ31" s="48" t="n"/>
      <c r="AK31" s="48" t="n"/>
      <c r="AL31" s="48" t="n"/>
      <c r="AM31" s="48" t="n"/>
      <c r="AN31" s="48" t="n"/>
      <c r="AO31" s="48" t="n"/>
      <c r="AP31" s="48" t="n"/>
      <c r="AQ31" s="48" t="n"/>
      <c r="AR31" s="48" t="n"/>
      <c r="AS31" s="48" t="n"/>
      <c r="AT31" s="48" t="n"/>
      <c r="AU31" s="48" t="n"/>
      <c r="AV31" s="48" t="n"/>
      <c r="AW31" s="48" t="n"/>
      <c r="AX31" s="48" t="n"/>
      <c r="AY31" s="48" t="n"/>
      <c r="AZ31" s="48" t="n"/>
      <c r="BA31" s="48" t="n"/>
      <c r="BB31" s="48" t="n"/>
      <c r="BC31" s="48" t="n"/>
      <c r="BD31" s="48" t="n"/>
      <c r="BE31" s="48" t="n"/>
      <c r="BF31" s="48" t="n"/>
      <c r="BG31" s="48" t="n"/>
      <c r="BH31" s="48" t="n"/>
      <c r="BI31" s="48" t="n"/>
      <c r="BJ31" s="48" t="n"/>
      <c r="BK31" s="48" t="n"/>
      <c r="BL31" s="48" t="n"/>
      <c r="BM31" s="48" t="n"/>
      <c r="BN31" s="48" t="n"/>
      <c r="BO31" s="48" t="n"/>
      <c r="BP31" s="48" t="n"/>
      <c r="BQ31" s="48" t="n"/>
      <c r="BR31" s="48" t="n"/>
      <c r="BS31" s="48" t="n"/>
      <c r="BT31" s="48" t="n"/>
      <c r="BU31" s="48" t="n"/>
      <c r="BV31" s="48" t="n"/>
      <c r="BW31" s="48" t="n"/>
      <c r="BX31" s="48" t="n"/>
      <c r="BY31" s="48" t="n"/>
      <c r="BZ31" s="48" t="n"/>
      <c r="CA31" s="48" t="n"/>
      <c r="CB31" s="48" t="n"/>
      <c r="CC31" s="48" t="n"/>
      <c r="CD31" s="48" t="n"/>
      <c r="CE31" s="48" t="n"/>
      <c r="CF31" s="48" t="n"/>
      <c r="CG31" s="48" t="n"/>
      <c r="CH31" s="48" t="n"/>
      <c r="CI31" s="48" t="n"/>
      <c r="CJ31" s="48" t="n"/>
      <c r="CK31" s="48" t="n"/>
      <c r="CL31" s="48" t="n"/>
      <c r="CM31" s="48" t="n"/>
      <c r="CN31" s="48" t="n"/>
      <c r="CO31" s="48" t="n"/>
      <c r="CP31" s="48" t="n"/>
      <c r="CQ31" s="48" t="n"/>
      <c r="CR31" s="48" t="n"/>
      <c r="CS31" s="48" t="n"/>
      <c r="CT31" s="48" t="n"/>
      <c r="CU31" s="48" t="n"/>
      <c r="CV31" s="48" t="n"/>
      <c r="CW31" s="48" t="n"/>
      <c r="CX31" s="48" t="n"/>
      <c r="CY31" s="48" t="n"/>
      <c r="CZ31" s="48" t="n"/>
      <c r="DA31" s="48" t="n"/>
      <c r="DB31" s="48" t="n"/>
      <c r="DC31" s="48" t="n"/>
      <c r="DD31" s="48" t="n"/>
      <c r="DE31" s="48" t="n"/>
      <c r="DF31" s="48" t="n"/>
      <c r="DG31" s="48" t="n"/>
      <c r="DH31" s="48" t="n"/>
      <c r="DI31" s="48" t="n"/>
      <c r="DJ31" s="48" t="n"/>
      <c r="DK31" s="48" t="n"/>
      <c r="DL31" s="48" t="n"/>
      <c r="DM31" s="48" t="n"/>
      <c r="DN31" s="48" t="n"/>
      <c r="DO31" s="48" t="n"/>
      <c r="DP31" s="48" t="n"/>
      <c r="DQ31" s="48" t="n"/>
      <c r="DR31" s="48" t="n"/>
      <c r="DS31" s="48" t="n"/>
      <c r="DT31" s="48" t="n"/>
      <c r="DU31" s="48" t="n"/>
      <c r="DV31" s="48" t="n"/>
      <c r="DW31" s="48" t="n"/>
      <c r="DX31" s="48" t="n"/>
      <c r="DY31" s="48" t="n"/>
      <c r="DZ31" s="48" t="n"/>
      <c r="EA31" s="48" t="n"/>
      <c r="EB31" s="48" t="n"/>
      <c r="EC31" s="48" t="n"/>
      <c r="ED31" s="48" t="n"/>
      <c r="EE31" s="48" t="n"/>
      <c r="EF31" s="48" t="n"/>
      <c r="EG31" s="48" t="n"/>
      <c r="EH31" s="48" t="n"/>
      <c r="EI31" s="48" t="n"/>
      <c r="EJ31" s="48" t="n"/>
      <c r="EK31" s="48" t="n"/>
      <c r="EL31" s="48" t="n"/>
      <c r="EM31" s="48" t="n"/>
      <c r="EN31" s="48" t="n"/>
      <c r="EO31" s="48" t="n"/>
      <c r="EP31" s="48" t="n"/>
      <c r="EQ31" s="48" t="n"/>
      <c r="ER31" s="48" t="n"/>
      <c r="ES31" s="48" t="n"/>
      <c r="ET31" s="48" t="n"/>
      <c r="EU31" s="48" t="n"/>
      <c r="EV31" s="48" t="n"/>
      <c r="EW31" s="48" t="n"/>
      <c r="EX31" s="48" t="n"/>
      <c r="EY31" s="48" t="n"/>
      <c r="EZ31" s="48" t="n"/>
      <c r="FA31" s="48" t="n"/>
      <c r="FB31" s="48" t="n"/>
      <c r="FC31" s="48" t="n"/>
      <c r="FD31" s="48" t="n"/>
      <c r="FE31" s="48" t="n"/>
      <c r="FF31" s="48" t="n"/>
      <c r="FG31" s="48" t="n"/>
      <c r="FH31" s="48" t="n"/>
      <c r="FI31" s="48" t="n"/>
      <c r="FJ31" s="48" t="n"/>
      <c r="FK31" s="48" t="n"/>
      <c r="FL31" s="48" t="n"/>
      <c r="FM31" s="48" t="n"/>
      <c r="FN31" s="48" t="n"/>
      <c r="FO31" s="48" t="n"/>
      <c r="FP31" s="48" t="n"/>
      <c r="FQ31" s="48" t="n"/>
      <c r="FR31" s="48" t="n"/>
      <c r="FS31" s="48" t="n"/>
      <c r="FT31" s="48" t="n"/>
      <c r="FU31" s="48" t="n"/>
      <c r="FV31" s="48" t="n"/>
      <c r="FW31" s="48" t="n"/>
      <c r="FX31" s="48" t="n"/>
      <c r="FY31" s="48" t="n"/>
      <c r="FZ31" s="48" t="n"/>
      <c r="GA31" s="48" t="n"/>
      <c r="GB31" s="48" t="n"/>
      <c r="GC31" s="48" t="n"/>
      <c r="GD31" s="48" t="n"/>
      <c r="GE31" s="48" t="n"/>
      <c r="GF31" s="48" t="n"/>
      <c r="GG31" s="48" t="n"/>
      <c r="GH31" s="48" t="n"/>
      <c r="GI31" s="48" t="n"/>
      <c r="GJ31" s="48" t="n"/>
      <c r="GK31" s="48" t="n"/>
      <c r="GL31" s="48" t="n"/>
      <c r="GM31" s="48" t="n"/>
      <c r="GN31" s="48" t="n"/>
      <c r="GO31" s="48" t="n"/>
      <c r="GP31" s="48" t="n"/>
      <c r="GQ31" s="48" t="n"/>
      <c r="GR31" s="48" t="n"/>
      <c r="GS31" s="48" t="n"/>
      <c r="GT31" s="48" t="n"/>
      <c r="GU31" s="48" t="n"/>
      <c r="GV31" s="48" t="n"/>
      <c r="GW31" s="48" t="n"/>
      <c r="GX31" s="48" t="n"/>
      <c r="GY31" s="48" t="n"/>
      <c r="GZ31" s="48" t="n"/>
      <c r="HA31" s="48" t="n"/>
      <c r="HB31" s="48" t="n"/>
      <c r="HC31" s="48" t="n"/>
      <c r="HD31" s="48" t="n"/>
      <c r="HE31" s="48" t="n"/>
      <c r="HF31" s="48" t="n"/>
      <c r="HG31" s="48" t="n"/>
      <c r="HH31" s="48" t="n"/>
      <c r="HI31" s="48" t="n"/>
      <c r="HJ31" s="48" t="n"/>
      <c r="HK31" s="48" t="n"/>
      <c r="HL31" s="48" t="n"/>
      <c r="HM31" s="48" t="n"/>
      <c r="HN31" s="48" t="n"/>
      <c r="HO31" s="48" t="n"/>
      <c r="HP31" s="48" t="n"/>
      <c r="HQ31" s="48" t="n"/>
      <c r="HR31" s="48" t="n"/>
      <c r="HS31" s="48" t="n"/>
      <c r="HT31" s="48" t="n"/>
      <c r="HU31" s="48" t="n"/>
      <c r="HV31" s="48" t="n"/>
      <c r="HW31" s="48" t="n"/>
      <c r="HX31" s="48" t="n"/>
      <c r="HY31" s="48" t="n"/>
      <c r="HZ31" s="48" t="n"/>
      <c r="IA31" s="48" t="n"/>
      <c r="IB31" s="48" t="n"/>
      <c r="IC31" s="48" t="n"/>
      <c r="ID31" s="48" t="n"/>
      <c r="IE31" s="48" t="n"/>
      <c r="IF31" s="48" t="n"/>
      <c r="IG31" s="48" t="n"/>
      <c r="IH31" s="48" t="n"/>
      <c r="II31" s="48" t="n"/>
      <c r="IJ31" s="48" t="n"/>
      <c r="IK31" s="48" t="n"/>
      <c r="IL31" s="48" t="n"/>
      <c r="IM31" s="48" t="n"/>
      <c r="IN31" s="48" t="n"/>
      <c r="IO31" s="48" t="n"/>
      <c r="IP31" s="48" t="n"/>
      <c r="IQ31" s="48" t="n"/>
      <c r="IR31" s="48" t="n"/>
      <c r="IS31" s="48" t="n"/>
      <c r="IT31" s="48" t="n"/>
      <c r="IU31" s="48" t="n"/>
      <c r="IV31" s="48" t="n"/>
      <c r="IW31" s="48" t="n"/>
      <c r="IX31" s="48" t="n"/>
      <c r="IY31" s="48" t="n"/>
      <c r="IZ31" s="48" t="n"/>
      <c r="JA31" s="48" t="n"/>
      <c r="JB31" s="48" t="n"/>
      <c r="JC31" s="48" t="n"/>
      <c r="JD31" s="48" t="n"/>
      <c r="JE31" s="48" t="n"/>
      <c r="JF31" s="48" t="n"/>
      <c r="JG31" s="48" t="n"/>
      <c r="JH31" s="48" t="n"/>
      <c r="JI31" s="48" t="n"/>
      <c r="JJ31" s="48" t="n"/>
      <c r="JK31" s="48" t="n"/>
      <c r="JL31" s="48" t="n"/>
      <c r="JM31" s="48" t="n"/>
      <c r="JN31" s="48" t="n"/>
      <c r="JO31" s="48" t="n"/>
      <c r="JP31" s="48" t="n"/>
      <c r="JQ31" s="48" t="n"/>
      <c r="JR31" s="48" t="n"/>
      <c r="JS31" s="48" t="n"/>
      <c r="JT31" s="48" t="n"/>
      <c r="JU31" s="48" t="n"/>
      <c r="JV31" s="48" t="n"/>
      <c r="JW31" s="48" t="n"/>
      <c r="JX31" s="48" t="n"/>
      <c r="JY31" s="48" t="n"/>
      <c r="JZ31" s="48" t="n"/>
      <c r="KA31" s="48" t="n"/>
      <c r="KB31" s="48" t="n"/>
      <c r="KC31" s="48" t="n"/>
      <c r="KD31" s="48" t="n"/>
      <c r="KE31" s="48" t="n"/>
      <c r="KF31" s="48" t="n"/>
      <c r="KG31" s="48" t="n"/>
      <c r="KH31" s="48" t="n"/>
      <c r="KI31" s="48" t="n"/>
      <c r="KJ31" s="48" t="n"/>
      <c r="KK31" s="48" t="n"/>
      <c r="KL31" s="48" t="n"/>
      <c r="KM31" s="48" t="n"/>
      <c r="KN31" s="48" t="n"/>
      <c r="KO31" s="48" t="n"/>
      <c r="KP31" s="48" t="n"/>
      <c r="KQ31" s="48" t="n"/>
      <c r="KR31" s="48" t="n"/>
      <c r="KS31" s="48" t="n"/>
      <c r="KT31" s="48" t="n"/>
      <c r="KU31" s="48" t="n"/>
      <c r="KV31" s="48" t="n"/>
      <c r="KW31" s="48" t="n"/>
      <c r="KX31" s="48" t="n"/>
      <c r="KY31" s="48" t="n"/>
      <c r="KZ31" s="48" t="n"/>
      <c r="LA31" s="48" t="n"/>
      <c r="LB31" s="48" t="n"/>
      <c r="LC31" s="48" t="n"/>
    </row>
    <row r="32" ht="17" customHeight="1">
      <c r="A32" s="11" t="n">
        <v>25</v>
      </c>
      <c r="B32" s="11" t="inlineStr">
        <is>
          <t>ЮГ-2</t>
        </is>
      </c>
      <c r="C32" s="16">
        <f>'ЮГ-2'!B105</f>
        <v/>
      </c>
      <c r="D32" s="11">
        <f>'ЮГ-2'!C105</f>
        <v/>
      </c>
      <c r="E32" s="11">
        <f>'ЮГ-2'!D105</f>
        <v/>
      </c>
      <c r="F32" s="34">
        <f>'ЮГ-2'!J105</f>
        <v/>
      </c>
      <c r="G32" s="34">
        <f>'ЮГ-2'!G108</f>
        <v/>
      </c>
      <c r="H32" s="34">
        <f>'ЮГ-2'!K105</f>
        <v/>
      </c>
      <c r="I32" s="46">
        <f>'ЮГ-2'!H105</f>
        <v/>
      </c>
      <c r="J32" s="11">
        <f>'ЮГ-2'!L105</f>
        <v/>
      </c>
      <c r="K32" s="11">
        <f>'ЮГ-2'!M105</f>
        <v/>
      </c>
      <c r="L32" s="47">
        <f>'ЮГ-2'!N105</f>
        <v/>
      </c>
      <c r="M32" s="48" t="n"/>
      <c r="N32" s="48" t="n"/>
      <c r="O32" s="48" t="n"/>
      <c r="P32" s="48" t="n"/>
      <c r="Q32" s="48" t="n"/>
      <c r="R32" s="48" t="n"/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48" t="n"/>
      <c r="AG32" s="48" t="n"/>
      <c r="AH32" s="48" t="n"/>
      <c r="AI32" s="48" t="n"/>
      <c r="AJ32" s="48" t="n"/>
      <c r="AK32" s="48" t="n"/>
      <c r="AL32" s="48" t="n"/>
      <c r="AM32" s="48" t="n"/>
      <c r="AN32" s="48" t="n"/>
      <c r="AO32" s="48" t="n"/>
      <c r="AP32" s="48" t="n"/>
      <c r="AQ32" s="48" t="n"/>
      <c r="AR32" s="48" t="n"/>
      <c r="AS32" s="48" t="n"/>
      <c r="AT32" s="48" t="n"/>
      <c r="AU32" s="48" t="n"/>
      <c r="AV32" s="48" t="n"/>
      <c r="AW32" s="48" t="n"/>
      <c r="AX32" s="48" t="n"/>
      <c r="AY32" s="48" t="n"/>
      <c r="AZ32" s="48" t="n"/>
      <c r="BA32" s="48" t="n"/>
      <c r="BB32" s="48" t="n"/>
      <c r="BC32" s="48" t="n"/>
      <c r="BD32" s="48" t="n"/>
      <c r="BE32" s="48" t="n"/>
      <c r="BF32" s="48" t="n"/>
      <c r="BG32" s="48" t="n"/>
      <c r="BH32" s="48" t="n"/>
      <c r="BI32" s="48" t="n"/>
      <c r="BJ32" s="48" t="n"/>
      <c r="BK32" s="48" t="n"/>
      <c r="BL32" s="48" t="n"/>
      <c r="BM32" s="48" t="n"/>
      <c r="BN32" s="48" t="n"/>
      <c r="BO32" s="48" t="n"/>
      <c r="BP32" s="48" t="n"/>
      <c r="BQ32" s="48" t="n"/>
      <c r="BR32" s="48" t="n"/>
      <c r="BS32" s="48" t="n"/>
      <c r="BT32" s="48" t="n"/>
      <c r="BU32" s="48" t="n"/>
      <c r="BV32" s="48" t="n"/>
      <c r="BW32" s="48" t="n"/>
      <c r="BX32" s="48" t="n"/>
      <c r="BY32" s="48" t="n"/>
      <c r="BZ32" s="48" t="n"/>
      <c r="CA32" s="48" t="n"/>
      <c r="CB32" s="48" t="n"/>
      <c r="CC32" s="48" t="n"/>
      <c r="CD32" s="48" t="n"/>
      <c r="CE32" s="48" t="n"/>
      <c r="CF32" s="48" t="n"/>
      <c r="CG32" s="48" t="n"/>
      <c r="CH32" s="48" t="n"/>
      <c r="CI32" s="48" t="n"/>
      <c r="CJ32" s="48" t="n"/>
      <c r="CK32" s="48" t="n"/>
      <c r="CL32" s="48" t="n"/>
      <c r="CM32" s="48" t="n"/>
      <c r="CN32" s="48" t="n"/>
      <c r="CO32" s="48" t="n"/>
      <c r="CP32" s="48" t="n"/>
      <c r="CQ32" s="48" t="n"/>
      <c r="CR32" s="48" t="n"/>
      <c r="CS32" s="48" t="n"/>
      <c r="CT32" s="48" t="n"/>
      <c r="CU32" s="48" t="n"/>
      <c r="CV32" s="48" t="n"/>
      <c r="CW32" s="48" t="n"/>
      <c r="CX32" s="48" t="n"/>
      <c r="CY32" s="48" t="n"/>
      <c r="CZ32" s="48" t="n"/>
      <c r="DA32" s="48" t="n"/>
      <c r="DB32" s="48" t="n"/>
      <c r="DC32" s="48" t="n"/>
      <c r="DD32" s="48" t="n"/>
      <c r="DE32" s="48" t="n"/>
      <c r="DF32" s="48" t="n"/>
      <c r="DG32" s="48" t="n"/>
      <c r="DH32" s="48" t="n"/>
      <c r="DI32" s="48" t="n"/>
      <c r="DJ32" s="48" t="n"/>
      <c r="DK32" s="48" t="n"/>
      <c r="DL32" s="48" t="n"/>
      <c r="DM32" s="48" t="n"/>
      <c r="DN32" s="48" t="n"/>
      <c r="DO32" s="48" t="n"/>
      <c r="DP32" s="48" t="n"/>
      <c r="DQ32" s="48" t="n"/>
      <c r="DR32" s="48" t="n"/>
      <c r="DS32" s="48" t="n"/>
      <c r="DT32" s="48" t="n"/>
      <c r="DU32" s="48" t="n"/>
      <c r="DV32" s="48" t="n"/>
      <c r="DW32" s="48" t="n"/>
      <c r="DX32" s="48" t="n"/>
      <c r="DY32" s="48" t="n"/>
      <c r="DZ32" s="48" t="n"/>
      <c r="EA32" s="48" t="n"/>
      <c r="EB32" s="48" t="n"/>
      <c r="EC32" s="48" t="n"/>
      <c r="ED32" s="48" t="n"/>
      <c r="EE32" s="48" t="n"/>
      <c r="EF32" s="48" t="n"/>
      <c r="EG32" s="48" t="n"/>
      <c r="EH32" s="48" t="n"/>
      <c r="EI32" s="48" t="n"/>
      <c r="EJ32" s="48" t="n"/>
      <c r="EK32" s="48" t="n"/>
      <c r="EL32" s="48" t="n"/>
      <c r="EM32" s="48" t="n"/>
      <c r="EN32" s="48" t="n"/>
      <c r="EO32" s="48" t="n"/>
      <c r="EP32" s="48" t="n"/>
      <c r="EQ32" s="48" t="n"/>
      <c r="ER32" s="48" t="n"/>
      <c r="ES32" s="48" t="n"/>
      <c r="ET32" s="48" t="n"/>
      <c r="EU32" s="48" t="n"/>
      <c r="EV32" s="48" t="n"/>
      <c r="EW32" s="48" t="n"/>
      <c r="EX32" s="48" t="n"/>
      <c r="EY32" s="48" t="n"/>
      <c r="EZ32" s="48" t="n"/>
      <c r="FA32" s="48" t="n"/>
      <c r="FB32" s="48" t="n"/>
      <c r="FC32" s="48" t="n"/>
      <c r="FD32" s="48" t="n"/>
      <c r="FE32" s="48" t="n"/>
      <c r="FF32" s="48" t="n"/>
      <c r="FG32" s="48" t="n"/>
      <c r="FH32" s="48" t="n"/>
      <c r="FI32" s="48" t="n"/>
      <c r="FJ32" s="48" t="n"/>
      <c r="FK32" s="48" t="n"/>
      <c r="FL32" s="48" t="n"/>
      <c r="FM32" s="48" t="n"/>
      <c r="FN32" s="48" t="n"/>
      <c r="FO32" s="48" t="n"/>
      <c r="FP32" s="48" t="n"/>
      <c r="FQ32" s="48" t="n"/>
      <c r="FR32" s="48" t="n"/>
      <c r="FS32" s="48" t="n"/>
      <c r="FT32" s="48" t="n"/>
      <c r="FU32" s="48" t="n"/>
      <c r="FV32" s="48" t="n"/>
      <c r="FW32" s="48" t="n"/>
      <c r="FX32" s="48" t="n"/>
      <c r="FY32" s="48" t="n"/>
      <c r="FZ32" s="48" t="n"/>
      <c r="GA32" s="48" t="n"/>
      <c r="GB32" s="48" t="n"/>
      <c r="GC32" s="48" t="n"/>
      <c r="GD32" s="48" t="n"/>
      <c r="GE32" s="48" t="n"/>
      <c r="GF32" s="48" t="n"/>
      <c r="GG32" s="48" t="n"/>
      <c r="GH32" s="48" t="n"/>
      <c r="GI32" s="48" t="n"/>
      <c r="GJ32" s="48" t="n"/>
      <c r="GK32" s="48" t="n"/>
      <c r="GL32" s="48" t="n"/>
      <c r="GM32" s="48" t="n"/>
      <c r="GN32" s="48" t="n"/>
      <c r="GO32" s="48" t="n"/>
      <c r="GP32" s="48" t="n"/>
      <c r="GQ32" s="48" t="n"/>
      <c r="GR32" s="48" t="n"/>
      <c r="GS32" s="48" t="n"/>
      <c r="GT32" s="48" t="n"/>
      <c r="GU32" s="48" t="n"/>
      <c r="GV32" s="48" t="n"/>
      <c r="GW32" s="48" t="n"/>
      <c r="GX32" s="48" t="n"/>
      <c r="GY32" s="48" t="n"/>
      <c r="GZ32" s="48" t="n"/>
      <c r="HA32" s="48" t="n"/>
      <c r="HB32" s="48" t="n"/>
      <c r="HC32" s="48" t="n"/>
      <c r="HD32" s="48" t="n"/>
      <c r="HE32" s="48" t="n"/>
      <c r="HF32" s="48" t="n"/>
      <c r="HG32" s="48" t="n"/>
      <c r="HH32" s="48" t="n"/>
      <c r="HI32" s="48" t="n"/>
      <c r="HJ32" s="48" t="n"/>
      <c r="HK32" s="48" t="n"/>
      <c r="HL32" s="48" t="n"/>
      <c r="HM32" s="48" t="n"/>
      <c r="HN32" s="48" t="n"/>
      <c r="HO32" s="48" t="n"/>
      <c r="HP32" s="48" t="n"/>
      <c r="HQ32" s="48" t="n"/>
      <c r="HR32" s="48" t="n"/>
      <c r="HS32" s="48" t="n"/>
      <c r="HT32" s="48" t="n"/>
      <c r="HU32" s="48" t="n"/>
      <c r="HV32" s="48" t="n"/>
      <c r="HW32" s="48" t="n"/>
      <c r="HX32" s="48" t="n"/>
      <c r="HY32" s="48" t="n"/>
      <c r="HZ32" s="48" t="n"/>
      <c r="IA32" s="48" t="n"/>
      <c r="IB32" s="48" t="n"/>
      <c r="IC32" s="48" t="n"/>
      <c r="ID32" s="48" t="n"/>
      <c r="IE32" s="48" t="n"/>
      <c r="IF32" s="48" t="n"/>
      <c r="IG32" s="48" t="n"/>
      <c r="IH32" s="48" t="n"/>
      <c r="II32" s="48" t="n"/>
      <c r="IJ32" s="48" t="n"/>
      <c r="IK32" s="48" t="n"/>
      <c r="IL32" s="48" t="n"/>
      <c r="IM32" s="48" t="n"/>
      <c r="IN32" s="48" t="n"/>
      <c r="IO32" s="48" t="n"/>
      <c r="IP32" s="48" t="n"/>
      <c r="IQ32" s="48" t="n"/>
      <c r="IR32" s="48" t="n"/>
      <c r="IS32" s="48" t="n"/>
      <c r="IT32" s="48" t="n"/>
      <c r="IU32" s="48" t="n"/>
      <c r="IV32" s="48" t="n"/>
      <c r="IW32" s="48" t="n"/>
      <c r="IX32" s="48" t="n"/>
      <c r="IY32" s="48" t="n"/>
      <c r="IZ32" s="48" t="n"/>
      <c r="JA32" s="48" t="n"/>
      <c r="JB32" s="48" t="n"/>
      <c r="JC32" s="48" t="n"/>
      <c r="JD32" s="48" t="n"/>
      <c r="JE32" s="48" t="n"/>
      <c r="JF32" s="48" t="n"/>
      <c r="JG32" s="48" t="n"/>
      <c r="JH32" s="48" t="n"/>
      <c r="JI32" s="48" t="n"/>
      <c r="JJ32" s="48" t="n"/>
      <c r="JK32" s="48" t="n"/>
      <c r="JL32" s="48" t="n"/>
      <c r="JM32" s="48" t="n"/>
      <c r="JN32" s="48" t="n"/>
      <c r="JO32" s="48" t="n"/>
      <c r="JP32" s="48" t="n"/>
      <c r="JQ32" s="48" t="n"/>
      <c r="JR32" s="48" t="n"/>
      <c r="JS32" s="48" t="n"/>
      <c r="JT32" s="48" t="n"/>
      <c r="JU32" s="48" t="n"/>
      <c r="JV32" s="48" t="n"/>
      <c r="JW32" s="48" t="n"/>
      <c r="JX32" s="48" t="n"/>
      <c r="JY32" s="48" t="n"/>
      <c r="JZ32" s="48" t="n"/>
      <c r="KA32" s="48" t="n"/>
      <c r="KB32" s="48" t="n"/>
      <c r="KC32" s="48" t="n"/>
      <c r="KD32" s="48" t="n"/>
      <c r="KE32" s="48" t="n"/>
      <c r="KF32" s="48" t="n"/>
      <c r="KG32" s="48" t="n"/>
      <c r="KH32" s="48" t="n"/>
      <c r="KI32" s="48" t="n"/>
      <c r="KJ32" s="48" t="n"/>
      <c r="KK32" s="48" t="n"/>
      <c r="KL32" s="48" t="n"/>
      <c r="KM32" s="48" t="n"/>
      <c r="KN32" s="48" t="n"/>
      <c r="KO32" s="48" t="n"/>
      <c r="KP32" s="48" t="n"/>
      <c r="KQ32" s="48" t="n"/>
      <c r="KR32" s="48" t="n"/>
      <c r="KS32" s="48" t="n"/>
      <c r="KT32" s="48" t="n"/>
      <c r="KU32" s="48" t="n"/>
      <c r="KV32" s="48" t="n"/>
      <c r="KW32" s="48" t="n"/>
      <c r="KX32" s="48" t="n"/>
      <c r="KY32" s="48" t="n"/>
      <c r="KZ32" s="48" t="n"/>
      <c r="LA32" s="48" t="n"/>
      <c r="LB32" s="48" t="n"/>
      <c r="LC32" s="48" t="n"/>
    </row>
    <row r="33" ht="17" customHeight="1">
      <c r="A33" s="11" t="n">
        <v>26</v>
      </c>
      <c r="B33" s="11" t="inlineStr">
        <is>
          <t>ЮГ-2</t>
        </is>
      </c>
      <c r="C33" s="16">
        <f>'ЮГ-2'!B115</f>
        <v/>
      </c>
      <c r="D33" s="11">
        <f>'ЮГ-2'!C115</f>
        <v/>
      </c>
      <c r="E33" s="11">
        <f>'ЮГ-2'!D115</f>
        <v/>
      </c>
      <c r="F33" s="34">
        <f>'ЮГ-2'!J115</f>
        <v/>
      </c>
      <c r="G33" s="34">
        <f>'ЮГ-2'!G118</f>
        <v/>
      </c>
      <c r="H33" s="34">
        <f>'ЮГ-2'!K115</f>
        <v/>
      </c>
      <c r="I33" s="46">
        <f>'ЮГ-2'!H115</f>
        <v/>
      </c>
      <c r="J33" s="11">
        <f>'ЮГ-2'!L115</f>
        <v/>
      </c>
      <c r="K33" s="11">
        <f>'ЮГ-2'!M115</f>
        <v/>
      </c>
      <c r="L33" s="47">
        <f>'ЮГ-2'!N115</f>
        <v/>
      </c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  <c r="AA33" s="48" t="n"/>
      <c r="AB33" s="48" t="n"/>
      <c r="AC33" s="48" t="n"/>
      <c r="AD33" s="48" t="n"/>
      <c r="AE33" s="48" t="n"/>
      <c r="AF33" s="48" t="n"/>
      <c r="AG33" s="48" t="n"/>
      <c r="AH33" s="48" t="n"/>
      <c r="AI33" s="48" t="n"/>
      <c r="AJ33" s="48" t="n"/>
      <c r="AK33" s="48" t="n"/>
      <c r="AL33" s="48" t="n"/>
      <c r="AM33" s="48" t="n"/>
      <c r="AN33" s="48" t="n"/>
      <c r="AO33" s="48" t="n"/>
      <c r="AP33" s="48" t="n"/>
      <c r="AQ33" s="48" t="n"/>
      <c r="AR33" s="48" t="n"/>
      <c r="AS33" s="48" t="n"/>
      <c r="AT33" s="48" t="n"/>
      <c r="AU33" s="48" t="n"/>
      <c r="AV33" s="48" t="n"/>
      <c r="AW33" s="48" t="n"/>
      <c r="AX33" s="48" t="n"/>
      <c r="AY33" s="48" t="n"/>
      <c r="AZ33" s="48" t="n"/>
      <c r="BA33" s="48" t="n"/>
      <c r="BB33" s="48" t="n"/>
      <c r="BC33" s="48" t="n"/>
      <c r="BD33" s="48" t="n"/>
      <c r="BE33" s="48" t="n"/>
      <c r="BF33" s="48" t="n"/>
      <c r="BG33" s="48" t="n"/>
      <c r="BH33" s="48" t="n"/>
      <c r="BI33" s="48" t="n"/>
      <c r="BJ33" s="48" t="n"/>
      <c r="BK33" s="48" t="n"/>
      <c r="BL33" s="48" t="n"/>
      <c r="BM33" s="48" t="n"/>
      <c r="BN33" s="48" t="n"/>
      <c r="BO33" s="48" t="n"/>
      <c r="BP33" s="48" t="n"/>
      <c r="BQ33" s="48" t="n"/>
      <c r="BR33" s="48" t="n"/>
      <c r="BS33" s="48" t="n"/>
      <c r="BT33" s="48" t="n"/>
      <c r="BU33" s="48" t="n"/>
      <c r="BV33" s="48" t="n"/>
      <c r="BW33" s="48" t="n"/>
      <c r="BX33" s="48" t="n"/>
      <c r="BY33" s="48" t="n"/>
      <c r="BZ33" s="48" t="n"/>
      <c r="CA33" s="48" t="n"/>
      <c r="CB33" s="48" t="n"/>
      <c r="CC33" s="48" t="n"/>
      <c r="CD33" s="48" t="n"/>
      <c r="CE33" s="48" t="n"/>
      <c r="CF33" s="48" t="n"/>
      <c r="CG33" s="48" t="n"/>
      <c r="CH33" s="48" t="n"/>
      <c r="CI33" s="48" t="n"/>
      <c r="CJ33" s="48" t="n"/>
      <c r="CK33" s="48" t="n"/>
      <c r="CL33" s="48" t="n"/>
      <c r="CM33" s="48" t="n"/>
      <c r="CN33" s="48" t="n"/>
      <c r="CO33" s="48" t="n"/>
      <c r="CP33" s="48" t="n"/>
      <c r="CQ33" s="48" t="n"/>
      <c r="CR33" s="48" t="n"/>
      <c r="CS33" s="48" t="n"/>
      <c r="CT33" s="48" t="n"/>
      <c r="CU33" s="48" t="n"/>
      <c r="CV33" s="48" t="n"/>
      <c r="CW33" s="48" t="n"/>
      <c r="CX33" s="48" t="n"/>
      <c r="CY33" s="48" t="n"/>
      <c r="CZ33" s="48" t="n"/>
      <c r="DA33" s="48" t="n"/>
      <c r="DB33" s="48" t="n"/>
      <c r="DC33" s="48" t="n"/>
      <c r="DD33" s="48" t="n"/>
      <c r="DE33" s="48" t="n"/>
      <c r="DF33" s="48" t="n"/>
      <c r="DG33" s="48" t="n"/>
      <c r="DH33" s="48" t="n"/>
      <c r="DI33" s="48" t="n"/>
      <c r="DJ33" s="48" t="n"/>
      <c r="DK33" s="48" t="n"/>
      <c r="DL33" s="48" t="n"/>
      <c r="DM33" s="48" t="n"/>
      <c r="DN33" s="48" t="n"/>
      <c r="DO33" s="48" t="n"/>
      <c r="DP33" s="48" t="n"/>
      <c r="DQ33" s="48" t="n"/>
      <c r="DR33" s="48" t="n"/>
      <c r="DS33" s="48" t="n"/>
      <c r="DT33" s="48" t="n"/>
      <c r="DU33" s="48" t="n"/>
      <c r="DV33" s="48" t="n"/>
      <c r="DW33" s="48" t="n"/>
      <c r="DX33" s="48" t="n"/>
      <c r="DY33" s="48" t="n"/>
      <c r="DZ33" s="48" t="n"/>
      <c r="EA33" s="48" t="n"/>
      <c r="EB33" s="48" t="n"/>
      <c r="EC33" s="48" t="n"/>
      <c r="ED33" s="48" t="n"/>
      <c r="EE33" s="48" t="n"/>
      <c r="EF33" s="48" t="n"/>
      <c r="EG33" s="48" t="n"/>
      <c r="EH33" s="48" t="n"/>
      <c r="EI33" s="48" t="n"/>
      <c r="EJ33" s="48" t="n"/>
      <c r="EK33" s="48" t="n"/>
      <c r="EL33" s="48" t="n"/>
      <c r="EM33" s="48" t="n"/>
      <c r="EN33" s="48" t="n"/>
      <c r="EO33" s="48" t="n"/>
      <c r="EP33" s="48" t="n"/>
      <c r="EQ33" s="48" t="n"/>
      <c r="ER33" s="48" t="n"/>
      <c r="ES33" s="48" t="n"/>
      <c r="ET33" s="48" t="n"/>
      <c r="EU33" s="48" t="n"/>
      <c r="EV33" s="48" t="n"/>
      <c r="EW33" s="48" t="n"/>
      <c r="EX33" s="48" t="n"/>
      <c r="EY33" s="48" t="n"/>
      <c r="EZ33" s="48" t="n"/>
      <c r="FA33" s="48" t="n"/>
      <c r="FB33" s="48" t="n"/>
      <c r="FC33" s="48" t="n"/>
      <c r="FD33" s="48" t="n"/>
      <c r="FE33" s="48" t="n"/>
      <c r="FF33" s="48" t="n"/>
      <c r="FG33" s="48" t="n"/>
      <c r="FH33" s="48" t="n"/>
      <c r="FI33" s="48" t="n"/>
      <c r="FJ33" s="48" t="n"/>
      <c r="FK33" s="48" t="n"/>
      <c r="FL33" s="48" t="n"/>
      <c r="FM33" s="48" t="n"/>
      <c r="FN33" s="48" t="n"/>
      <c r="FO33" s="48" t="n"/>
      <c r="FP33" s="48" t="n"/>
      <c r="FQ33" s="48" t="n"/>
      <c r="FR33" s="48" t="n"/>
      <c r="FS33" s="48" t="n"/>
      <c r="FT33" s="48" t="n"/>
      <c r="FU33" s="48" t="n"/>
      <c r="FV33" s="48" t="n"/>
      <c r="FW33" s="48" t="n"/>
      <c r="FX33" s="48" t="n"/>
      <c r="FY33" s="48" t="n"/>
      <c r="FZ33" s="48" t="n"/>
      <c r="GA33" s="48" t="n"/>
      <c r="GB33" s="48" t="n"/>
      <c r="GC33" s="48" t="n"/>
      <c r="GD33" s="48" t="n"/>
      <c r="GE33" s="48" t="n"/>
      <c r="GF33" s="48" t="n"/>
      <c r="GG33" s="48" t="n"/>
      <c r="GH33" s="48" t="n"/>
      <c r="GI33" s="48" t="n"/>
      <c r="GJ33" s="48" t="n"/>
      <c r="GK33" s="48" t="n"/>
      <c r="GL33" s="48" t="n"/>
      <c r="GM33" s="48" t="n"/>
      <c r="GN33" s="48" t="n"/>
      <c r="GO33" s="48" t="n"/>
      <c r="GP33" s="48" t="n"/>
      <c r="GQ33" s="48" t="n"/>
      <c r="GR33" s="48" t="n"/>
      <c r="GS33" s="48" t="n"/>
      <c r="GT33" s="48" t="n"/>
      <c r="GU33" s="48" t="n"/>
      <c r="GV33" s="48" t="n"/>
      <c r="GW33" s="48" t="n"/>
      <c r="GX33" s="48" t="n"/>
      <c r="GY33" s="48" t="n"/>
      <c r="GZ33" s="48" t="n"/>
      <c r="HA33" s="48" t="n"/>
      <c r="HB33" s="48" t="n"/>
      <c r="HC33" s="48" t="n"/>
      <c r="HD33" s="48" t="n"/>
      <c r="HE33" s="48" t="n"/>
      <c r="HF33" s="48" t="n"/>
      <c r="HG33" s="48" t="n"/>
      <c r="HH33" s="48" t="n"/>
      <c r="HI33" s="48" t="n"/>
      <c r="HJ33" s="48" t="n"/>
      <c r="HK33" s="48" t="n"/>
      <c r="HL33" s="48" t="n"/>
      <c r="HM33" s="48" t="n"/>
      <c r="HN33" s="48" t="n"/>
      <c r="HO33" s="48" t="n"/>
      <c r="HP33" s="48" t="n"/>
      <c r="HQ33" s="48" t="n"/>
      <c r="HR33" s="48" t="n"/>
      <c r="HS33" s="48" t="n"/>
      <c r="HT33" s="48" t="n"/>
      <c r="HU33" s="48" t="n"/>
      <c r="HV33" s="48" t="n"/>
      <c r="HW33" s="48" t="n"/>
      <c r="HX33" s="48" t="n"/>
      <c r="HY33" s="48" t="n"/>
      <c r="HZ33" s="48" t="n"/>
      <c r="IA33" s="48" t="n"/>
      <c r="IB33" s="48" t="n"/>
      <c r="IC33" s="48" t="n"/>
      <c r="ID33" s="48" t="n"/>
      <c r="IE33" s="48" t="n"/>
      <c r="IF33" s="48" t="n"/>
      <c r="IG33" s="48" t="n"/>
      <c r="IH33" s="48" t="n"/>
      <c r="II33" s="48" t="n"/>
      <c r="IJ33" s="48" t="n"/>
      <c r="IK33" s="48" t="n"/>
      <c r="IL33" s="48" t="n"/>
      <c r="IM33" s="48" t="n"/>
      <c r="IN33" s="48" t="n"/>
      <c r="IO33" s="48" t="n"/>
      <c r="IP33" s="48" t="n"/>
      <c r="IQ33" s="48" t="n"/>
      <c r="IR33" s="48" t="n"/>
      <c r="IS33" s="48" t="n"/>
      <c r="IT33" s="48" t="n"/>
      <c r="IU33" s="48" t="n"/>
      <c r="IV33" s="48" t="n"/>
      <c r="IW33" s="48" t="n"/>
      <c r="IX33" s="48" t="n"/>
      <c r="IY33" s="48" t="n"/>
      <c r="IZ33" s="48" t="n"/>
      <c r="JA33" s="48" t="n"/>
      <c r="JB33" s="48" t="n"/>
      <c r="JC33" s="48" t="n"/>
      <c r="JD33" s="48" t="n"/>
      <c r="JE33" s="48" t="n"/>
      <c r="JF33" s="48" t="n"/>
      <c r="JG33" s="48" t="n"/>
      <c r="JH33" s="48" t="n"/>
      <c r="JI33" s="48" t="n"/>
      <c r="JJ33" s="48" t="n"/>
      <c r="JK33" s="48" t="n"/>
      <c r="JL33" s="48" t="n"/>
      <c r="JM33" s="48" t="n"/>
      <c r="JN33" s="48" t="n"/>
      <c r="JO33" s="48" t="n"/>
      <c r="JP33" s="48" t="n"/>
      <c r="JQ33" s="48" t="n"/>
      <c r="JR33" s="48" t="n"/>
      <c r="JS33" s="48" t="n"/>
      <c r="JT33" s="48" t="n"/>
      <c r="JU33" s="48" t="n"/>
      <c r="JV33" s="48" t="n"/>
      <c r="JW33" s="48" t="n"/>
      <c r="JX33" s="48" t="n"/>
      <c r="JY33" s="48" t="n"/>
      <c r="JZ33" s="48" t="n"/>
      <c r="KA33" s="48" t="n"/>
      <c r="KB33" s="48" t="n"/>
      <c r="KC33" s="48" t="n"/>
      <c r="KD33" s="48" t="n"/>
      <c r="KE33" s="48" t="n"/>
      <c r="KF33" s="48" t="n"/>
      <c r="KG33" s="48" t="n"/>
      <c r="KH33" s="48" t="n"/>
      <c r="KI33" s="48" t="n"/>
      <c r="KJ33" s="48" t="n"/>
      <c r="KK33" s="48" t="n"/>
      <c r="KL33" s="48" t="n"/>
      <c r="KM33" s="48" t="n"/>
      <c r="KN33" s="48" t="n"/>
      <c r="KO33" s="48" t="n"/>
      <c r="KP33" s="48" t="n"/>
      <c r="KQ33" s="48" t="n"/>
      <c r="KR33" s="48" t="n"/>
      <c r="KS33" s="48" t="n"/>
      <c r="KT33" s="48" t="n"/>
      <c r="KU33" s="48" t="n"/>
      <c r="KV33" s="48" t="n"/>
      <c r="KW33" s="48" t="n"/>
      <c r="KX33" s="48" t="n"/>
      <c r="KY33" s="48" t="n"/>
      <c r="KZ33" s="48" t="n"/>
      <c r="LA33" s="48" t="n"/>
      <c r="LB33" s="48" t="n"/>
      <c r="LC33" s="48" t="n"/>
    </row>
    <row r="34" ht="17" customHeight="1">
      <c r="A34" s="11" t="n">
        <v>27</v>
      </c>
      <c r="B34" s="11" t="inlineStr">
        <is>
          <t>ЮГ-2</t>
        </is>
      </c>
      <c r="C34" s="16">
        <f>'ЮГ-2'!B125</f>
        <v/>
      </c>
      <c r="D34" s="11">
        <f>'ЮГ-2'!C125</f>
        <v/>
      </c>
      <c r="E34" s="11">
        <f>'ЮГ-2'!D125</f>
        <v/>
      </c>
      <c r="F34" s="34">
        <f>'ЮГ-2'!J125</f>
        <v/>
      </c>
      <c r="G34" s="34">
        <f>'ЮГ-2'!G128</f>
        <v/>
      </c>
      <c r="H34" s="34">
        <f>'ЮГ-2'!K125</f>
        <v/>
      </c>
      <c r="I34" s="46">
        <f>'ЮГ-2'!H125</f>
        <v/>
      </c>
      <c r="J34" s="11">
        <f>'ЮГ-2'!L125</f>
        <v/>
      </c>
      <c r="K34" s="11">
        <f>'ЮГ-2'!M125</f>
        <v/>
      </c>
      <c r="L34" s="47">
        <f>'ЮГ-2'!N125</f>
        <v/>
      </c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  <c r="AA34" s="48" t="n"/>
      <c r="AB34" s="48" t="n"/>
      <c r="AC34" s="48" t="n"/>
      <c r="AD34" s="48" t="n"/>
      <c r="AE34" s="48" t="n"/>
      <c r="AF34" s="48" t="n"/>
      <c r="AG34" s="48" t="n"/>
      <c r="AH34" s="48" t="n"/>
      <c r="AI34" s="48" t="n"/>
      <c r="AJ34" s="48" t="n"/>
      <c r="AK34" s="48" t="n"/>
      <c r="AL34" s="48" t="n"/>
      <c r="AM34" s="48" t="n"/>
      <c r="AN34" s="48" t="n"/>
      <c r="AO34" s="48" t="n"/>
      <c r="AP34" s="48" t="n"/>
      <c r="AQ34" s="48" t="n"/>
      <c r="AR34" s="48" t="n"/>
      <c r="AS34" s="48" t="n"/>
      <c r="AT34" s="48" t="n"/>
      <c r="AU34" s="48" t="n"/>
      <c r="AV34" s="48" t="n"/>
      <c r="AW34" s="48" t="n"/>
      <c r="AX34" s="48" t="n"/>
      <c r="AY34" s="48" t="n"/>
      <c r="AZ34" s="48" t="n"/>
      <c r="BA34" s="48" t="n"/>
      <c r="BB34" s="48" t="n"/>
      <c r="BC34" s="48" t="n"/>
      <c r="BD34" s="48" t="n"/>
      <c r="BE34" s="48" t="n"/>
      <c r="BF34" s="48" t="n"/>
      <c r="BG34" s="48" t="n"/>
      <c r="BH34" s="48" t="n"/>
      <c r="BI34" s="48" t="n"/>
      <c r="BJ34" s="48" t="n"/>
      <c r="BK34" s="48" t="n"/>
      <c r="BL34" s="48" t="n"/>
      <c r="BM34" s="48" t="n"/>
      <c r="BN34" s="48" t="n"/>
      <c r="BO34" s="48" t="n"/>
      <c r="BP34" s="48" t="n"/>
      <c r="BQ34" s="48" t="n"/>
      <c r="BR34" s="48" t="n"/>
      <c r="BS34" s="48" t="n"/>
      <c r="BT34" s="48" t="n"/>
      <c r="BU34" s="48" t="n"/>
      <c r="BV34" s="48" t="n"/>
      <c r="BW34" s="48" t="n"/>
      <c r="BX34" s="48" t="n"/>
      <c r="BY34" s="48" t="n"/>
      <c r="BZ34" s="48" t="n"/>
      <c r="CA34" s="48" t="n"/>
      <c r="CB34" s="48" t="n"/>
      <c r="CC34" s="48" t="n"/>
      <c r="CD34" s="48" t="n"/>
      <c r="CE34" s="48" t="n"/>
      <c r="CF34" s="48" t="n"/>
      <c r="CG34" s="48" t="n"/>
      <c r="CH34" s="48" t="n"/>
      <c r="CI34" s="48" t="n"/>
      <c r="CJ34" s="48" t="n"/>
      <c r="CK34" s="48" t="n"/>
      <c r="CL34" s="48" t="n"/>
      <c r="CM34" s="48" t="n"/>
      <c r="CN34" s="48" t="n"/>
      <c r="CO34" s="48" t="n"/>
      <c r="CP34" s="48" t="n"/>
      <c r="CQ34" s="48" t="n"/>
      <c r="CR34" s="48" t="n"/>
      <c r="CS34" s="48" t="n"/>
      <c r="CT34" s="48" t="n"/>
      <c r="CU34" s="48" t="n"/>
      <c r="CV34" s="48" t="n"/>
      <c r="CW34" s="48" t="n"/>
      <c r="CX34" s="48" t="n"/>
      <c r="CY34" s="48" t="n"/>
      <c r="CZ34" s="48" t="n"/>
      <c r="DA34" s="48" t="n"/>
      <c r="DB34" s="48" t="n"/>
      <c r="DC34" s="48" t="n"/>
      <c r="DD34" s="48" t="n"/>
      <c r="DE34" s="48" t="n"/>
      <c r="DF34" s="48" t="n"/>
      <c r="DG34" s="48" t="n"/>
      <c r="DH34" s="48" t="n"/>
      <c r="DI34" s="48" t="n"/>
      <c r="DJ34" s="48" t="n"/>
      <c r="DK34" s="48" t="n"/>
      <c r="DL34" s="48" t="n"/>
      <c r="DM34" s="48" t="n"/>
      <c r="DN34" s="48" t="n"/>
      <c r="DO34" s="48" t="n"/>
      <c r="DP34" s="48" t="n"/>
      <c r="DQ34" s="48" t="n"/>
      <c r="DR34" s="48" t="n"/>
      <c r="DS34" s="48" t="n"/>
      <c r="DT34" s="48" t="n"/>
      <c r="DU34" s="48" t="n"/>
      <c r="DV34" s="48" t="n"/>
      <c r="DW34" s="48" t="n"/>
      <c r="DX34" s="48" t="n"/>
      <c r="DY34" s="48" t="n"/>
      <c r="DZ34" s="48" t="n"/>
      <c r="EA34" s="48" t="n"/>
      <c r="EB34" s="48" t="n"/>
      <c r="EC34" s="48" t="n"/>
      <c r="ED34" s="48" t="n"/>
      <c r="EE34" s="48" t="n"/>
      <c r="EF34" s="48" t="n"/>
      <c r="EG34" s="48" t="n"/>
      <c r="EH34" s="48" t="n"/>
      <c r="EI34" s="48" t="n"/>
      <c r="EJ34" s="48" t="n"/>
      <c r="EK34" s="48" t="n"/>
      <c r="EL34" s="48" t="n"/>
      <c r="EM34" s="48" t="n"/>
      <c r="EN34" s="48" t="n"/>
      <c r="EO34" s="48" t="n"/>
      <c r="EP34" s="48" t="n"/>
      <c r="EQ34" s="48" t="n"/>
      <c r="ER34" s="48" t="n"/>
      <c r="ES34" s="48" t="n"/>
      <c r="ET34" s="48" t="n"/>
      <c r="EU34" s="48" t="n"/>
      <c r="EV34" s="48" t="n"/>
      <c r="EW34" s="48" t="n"/>
      <c r="EX34" s="48" t="n"/>
      <c r="EY34" s="48" t="n"/>
      <c r="EZ34" s="48" t="n"/>
      <c r="FA34" s="48" t="n"/>
      <c r="FB34" s="48" t="n"/>
      <c r="FC34" s="48" t="n"/>
      <c r="FD34" s="48" t="n"/>
      <c r="FE34" s="48" t="n"/>
      <c r="FF34" s="48" t="n"/>
      <c r="FG34" s="48" t="n"/>
      <c r="FH34" s="48" t="n"/>
      <c r="FI34" s="48" t="n"/>
      <c r="FJ34" s="48" t="n"/>
      <c r="FK34" s="48" t="n"/>
      <c r="FL34" s="48" t="n"/>
      <c r="FM34" s="48" t="n"/>
      <c r="FN34" s="48" t="n"/>
      <c r="FO34" s="48" t="n"/>
      <c r="FP34" s="48" t="n"/>
      <c r="FQ34" s="48" t="n"/>
      <c r="FR34" s="48" t="n"/>
      <c r="FS34" s="48" t="n"/>
      <c r="FT34" s="48" t="n"/>
      <c r="FU34" s="48" t="n"/>
      <c r="FV34" s="48" t="n"/>
      <c r="FW34" s="48" t="n"/>
      <c r="FX34" s="48" t="n"/>
      <c r="FY34" s="48" t="n"/>
      <c r="FZ34" s="48" t="n"/>
      <c r="GA34" s="48" t="n"/>
      <c r="GB34" s="48" t="n"/>
      <c r="GC34" s="48" t="n"/>
      <c r="GD34" s="48" t="n"/>
      <c r="GE34" s="48" t="n"/>
      <c r="GF34" s="48" t="n"/>
      <c r="GG34" s="48" t="n"/>
      <c r="GH34" s="48" t="n"/>
      <c r="GI34" s="48" t="n"/>
      <c r="GJ34" s="48" t="n"/>
      <c r="GK34" s="48" t="n"/>
      <c r="GL34" s="48" t="n"/>
      <c r="GM34" s="48" t="n"/>
      <c r="GN34" s="48" t="n"/>
      <c r="GO34" s="48" t="n"/>
      <c r="GP34" s="48" t="n"/>
      <c r="GQ34" s="48" t="n"/>
      <c r="GR34" s="48" t="n"/>
      <c r="GS34" s="48" t="n"/>
      <c r="GT34" s="48" t="n"/>
      <c r="GU34" s="48" t="n"/>
      <c r="GV34" s="48" t="n"/>
      <c r="GW34" s="48" t="n"/>
      <c r="GX34" s="48" t="n"/>
      <c r="GY34" s="48" t="n"/>
      <c r="GZ34" s="48" t="n"/>
      <c r="HA34" s="48" t="n"/>
      <c r="HB34" s="48" t="n"/>
      <c r="HC34" s="48" t="n"/>
      <c r="HD34" s="48" t="n"/>
      <c r="HE34" s="48" t="n"/>
      <c r="HF34" s="48" t="n"/>
      <c r="HG34" s="48" t="n"/>
      <c r="HH34" s="48" t="n"/>
      <c r="HI34" s="48" t="n"/>
      <c r="HJ34" s="48" t="n"/>
      <c r="HK34" s="48" t="n"/>
      <c r="HL34" s="48" t="n"/>
      <c r="HM34" s="48" t="n"/>
      <c r="HN34" s="48" t="n"/>
      <c r="HO34" s="48" t="n"/>
      <c r="HP34" s="48" t="n"/>
      <c r="HQ34" s="48" t="n"/>
      <c r="HR34" s="48" t="n"/>
      <c r="HS34" s="48" t="n"/>
      <c r="HT34" s="48" t="n"/>
      <c r="HU34" s="48" t="n"/>
      <c r="HV34" s="48" t="n"/>
      <c r="HW34" s="48" t="n"/>
      <c r="HX34" s="48" t="n"/>
      <c r="HY34" s="48" t="n"/>
      <c r="HZ34" s="48" t="n"/>
      <c r="IA34" s="48" t="n"/>
      <c r="IB34" s="48" t="n"/>
      <c r="IC34" s="48" t="n"/>
      <c r="ID34" s="48" t="n"/>
      <c r="IE34" s="48" t="n"/>
      <c r="IF34" s="48" t="n"/>
      <c r="IG34" s="48" t="n"/>
      <c r="IH34" s="48" t="n"/>
      <c r="II34" s="48" t="n"/>
      <c r="IJ34" s="48" t="n"/>
      <c r="IK34" s="48" t="n"/>
      <c r="IL34" s="48" t="n"/>
      <c r="IM34" s="48" t="n"/>
      <c r="IN34" s="48" t="n"/>
      <c r="IO34" s="48" t="n"/>
      <c r="IP34" s="48" t="n"/>
      <c r="IQ34" s="48" t="n"/>
      <c r="IR34" s="48" t="n"/>
      <c r="IS34" s="48" t="n"/>
      <c r="IT34" s="48" t="n"/>
      <c r="IU34" s="48" t="n"/>
      <c r="IV34" s="48" t="n"/>
      <c r="IW34" s="48" t="n"/>
      <c r="IX34" s="48" t="n"/>
      <c r="IY34" s="48" t="n"/>
      <c r="IZ34" s="48" t="n"/>
      <c r="JA34" s="48" t="n"/>
      <c r="JB34" s="48" t="n"/>
      <c r="JC34" s="48" t="n"/>
      <c r="JD34" s="48" t="n"/>
      <c r="JE34" s="48" t="n"/>
      <c r="JF34" s="48" t="n"/>
      <c r="JG34" s="48" t="n"/>
      <c r="JH34" s="48" t="n"/>
      <c r="JI34" s="48" t="n"/>
      <c r="JJ34" s="48" t="n"/>
      <c r="JK34" s="48" t="n"/>
      <c r="JL34" s="48" t="n"/>
      <c r="JM34" s="48" t="n"/>
      <c r="JN34" s="48" t="n"/>
      <c r="JO34" s="48" t="n"/>
      <c r="JP34" s="48" t="n"/>
      <c r="JQ34" s="48" t="n"/>
      <c r="JR34" s="48" t="n"/>
      <c r="JS34" s="48" t="n"/>
      <c r="JT34" s="48" t="n"/>
      <c r="JU34" s="48" t="n"/>
      <c r="JV34" s="48" t="n"/>
      <c r="JW34" s="48" t="n"/>
      <c r="JX34" s="48" t="n"/>
      <c r="JY34" s="48" t="n"/>
      <c r="JZ34" s="48" t="n"/>
      <c r="KA34" s="48" t="n"/>
      <c r="KB34" s="48" t="n"/>
      <c r="KC34" s="48" t="n"/>
      <c r="KD34" s="48" t="n"/>
      <c r="KE34" s="48" t="n"/>
      <c r="KF34" s="48" t="n"/>
      <c r="KG34" s="48" t="n"/>
      <c r="KH34" s="48" t="n"/>
      <c r="KI34" s="48" t="n"/>
      <c r="KJ34" s="48" t="n"/>
      <c r="KK34" s="48" t="n"/>
      <c r="KL34" s="48" t="n"/>
      <c r="KM34" s="48" t="n"/>
      <c r="KN34" s="48" t="n"/>
      <c r="KO34" s="48" t="n"/>
      <c r="KP34" s="48" t="n"/>
      <c r="KQ34" s="48" t="n"/>
      <c r="KR34" s="48" t="n"/>
      <c r="KS34" s="48" t="n"/>
      <c r="KT34" s="48" t="n"/>
      <c r="KU34" s="48" t="n"/>
      <c r="KV34" s="48" t="n"/>
      <c r="KW34" s="48" t="n"/>
      <c r="KX34" s="48" t="n"/>
      <c r="KY34" s="48" t="n"/>
      <c r="KZ34" s="48" t="n"/>
      <c r="LA34" s="48" t="n"/>
      <c r="LB34" s="48" t="n"/>
      <c r="LC34" s="48" t="n"/>
    </row>
    <row r="35" ht="17" customHeight="1">
      <c r="A35" s="11" t="n">
        <v>28</v>
      </c>
      <c r="B35" s="11" t="inlineStr">
        <is>
          <t>ЮГ-2</t>
        </is>
      </c>
      <c r="C35" s="16">
        <f>'ЮГ-2'!B135</f>
        <v/>
      </c>
      <c r="D35" s="11">
        <f>'ЮГ-2'!C135</f>
        <v/>
      </c>
      <c r="E35" s="11">
        <f>'ЮГ-2'!D135</f>
        <v/>
      </c>
      <c r="F35" s="34">
        <f>'ЮГ-2'!J135</f>
        <v/>
      </c>
      <c r="G35" s="34">
        <f>'ЮГ-2'!G138</f>
        <v/>
      </c>
      <c r="H35" s="34">
        <f>'ЮГ-2'!K135</f>
        <v/>
      </c>
      <c r="I35" s="46">
        <f>'ЮГ-2'!H135</f>
        <v/>
      </c>
      <c r="J35" s="11">
        <f>'ЮГ-2'!L135</f>
        <v/>
      </c>
      <c r="K35" s="11">
        <f>'ЮГ-2'!M135</f>
        <v/>
      </c>
      <c r="L35" s="47">
        <f>'ЮГ-2'!N135</f>
        <v/>
      </c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  <c r="AA35" s="48" t="n"/>
      <c r="AB35" s="48" t="n"/>
      <c r="AC35" s="48" t="n"/>
      <c r="AD35" s="48" t="n"/>
      <c r="AE35" s="48" t="n"/>
      <c r="AF35" s="48" t="n"/>
      <c r="AG35" s="48" t="n"/>
      <c r="AH35" s="48" t="n"/>
      <c r="AI35" s="48" t="n"/>
      <c r="AJ35" s="48" t="n"/>
      <c r="AK35" s="48" t="n"/>
      <c r="AL35" s="48" t="n"/>
      <c r="AM35" s="48" t="n"/>
      <c r="AN35" s="48" t="n"/>
      <c r="AO35" s="48" t="n"/>
      <c r="AP35" s="48" t="n"/>
      <c r="AQ35" s="48" t="n"/>
      <c r="AR35" s="48" t="n"/>
      <c r="AS35" s="48" t="n"/>
      <c r="AT35" s="48" t="n"/>
      <c r="AU35" s="48" t="n"/>
      <c r="AV35" s="48" t="n"/>
      <c r="AW35" s="48" t="n"/>
      <c r="AX35" s="48" t="n"/>
      <c r="AY35" s="48" t="n"/>
      <c r="AZ35" s="48" t="n"/>
      <c r="BA35" s="48" t="n"/>
      <c r="BB35" s="48" t="n"/>
      <c r="BC35" s="48" t="n"/>
      <c r="BD35" s="48" t="n"/>
      <c r="BE35" s="48" t="n"/>
      <c r="BF35" s="48" t="n"/>
      <c r="BG35" s="48" t="n"/>
      <c r="BH35" s="48" t="n"/>
      <c r="BI35" s="48" t="n"/>
      <c r="BJ35" s="48" t="n"/>
      <c r="BK35" s="48" t="n"/>
      <c r="BL35" s="48" t="n"/>
      <c r="BM35" s="48" t="n"/>
      <c r="BN35" s="48" t="n"/>
      <c r="BO35" s="48" t="n"/>
      <c r="BP35" s="48" t="n"/>
      <c r="BQ35" s="48" t="n"/>
      <c r="BR35" s="48" t="n"/>
      <c r="BS35" s="48" t="n"/>
      <c r="BT35" s="48" t="n"/>
      <c r="BU35" s="48" t="n"/>
      <c r="BV35" s="48" t="n"/>
      <c r="BW35" s="48" t="n"/>
      <c r="BX35" s="48" t="n"/>
      <c r="BY35" s="48" t="n"/>
      <c r="BZ35" s="48" t="n"/>
      <c r="CA35" s="48" t="n"/>
      <c r="CB35" s="48" t="n"/>
      <c r="CC35" s="48" t="n"/>
      <c r="CD35" s="48" t="n"/>
      <c r="CE35" s="48" t="n"/>
      <c r="CF35" s="48" t="n"/>
      <c r="CG35" s="48" t="n"/>
      <c r="CH35" s="48" t="n"/>
      <c r="CI35" s="48" t="n"/>
      <c r="CJ35" s="48" t="n"/>
      <c r="CK35" s="48" t="n"/>
      <c r="CL35" s="48" t="n"/>
      <c r="CM35" s="48" t="n"/>
      <c r="CN35" s="48" t="n"/>
      <c r="CO35" s="48" t="n"/>
      <c r="CP35" s="48" t="n"/>
      <c r="CQ35" s="48" t="n"/>
      <c r="CR35" s="48" t="n"/>
      <c r="CS35" s="48" t="n"/>
      <c r="CT35" s="48" t="n"/>
      <c r="CU35" s="48" t="n"/>
      <c r="CV35" s="48" t="n"/>
      <c r="CW35" s="48" t="n"/>
      <c r="CX35" s="48" t="n"/>
      <c r="CY35" s="48" t="n"/>
      <c r="CZ35" s="48" t="n"/>
      <c r="DA35" s="48" t="n"/>
      <c r="DB35" s="48" t="n"/>
      <c r="DC35" s="48" t="n"/>
      <c r="DD35" s="48" t="n"/>
      <c r="DE35" s="48" t="n"/>
      <c r="DF35" s="48" t="n"/>
      <c r="DG35" s="48" t="n"/>
      <c r="DH35" s="48" t="n"/>
      <c r="DI35" s="48" t="n"/>
      <c r="DJ35" s="48" t="n"/>
      <c r="DK35" s="48" t="n"/>
      <c r="DL35" s="48" t="n"/>
      <c r="DM35" s="48" t="n"/>
      <c r="DN35" s="48" t="n"/>
      <c r="DO35" s="48" t="n"/>
      <c r="DP35" s="48" t="n"/>
      <c r="DQ35" s="48" t="n"/>
      <c r="DR35" s="48" t="n"/>
      <c r="DS35" s="48" t="n"/>
      <c r="DT35" s="48" t="n"/>
      <c r="DU35" s="48" t="n"/>
      <c r="DV35" s="48" t="n"/>
      <c r="DW35" s="48" t="n"/>
      <c r="DX35" s="48" t="n"/>
      <c r="DY35" s="48" t="n"/>
      <c r="DZ35" s="48" t="n"/>
      <c r="EA35" s="48" t="n"/>
      <c r="EB35" s="48" t="n"/>
      <c r="EC35" s="48" t="n"/>
      <c r="ED35" s="48" t="n"/>
      <c r="EE35" s="48" t="n"/>
      <c r="EF35" s="48" t="n"/>
      <c r="EG35" s="48" t="n"/>
      <c r="EH35" s="48" t="n"/>
      <c r="EI35" s="48" t="n"/>
      <c r="EJ35" s="48" t="n"/>
      <c r="EK35" s="48" t="n"/>
      <c r="EL35" s="48" t="n"/>
      <c r="EM35" s="48" t="n"/>
      <c r="EN35" s="48" t="n"/>
      <c r="EO35" s="48" t="n"/>
      <c r="EP35" s="48" t="n"/>
      <c r="EQ35" s="48" t="n"/>
      <c r="ER35" s="48" t="n"/>
      <c r="ES35" s="48" t="n"/>
      <c r="ET35" s="48" t="n"/>
      <c r="EU35" s="48" t="n"/>
      <c r="EV35" s="48" t="n"/>
      <c r="EW35" s="48" t="n"/>
      <c r="EX35" s="48" t="n"/>
      <c r="EY35" s="48" t="n"/>
      <c r="EZ35" s="48" t="n"/>
      <c r="FA35" s="48" t="n"/>
      <c r="FB35" s="48" t="n"/>
      <c r="FC35" s="48" t="n"/>
      <c r="FD35" s="48" t="n"/>
      <c r="FE35" s="48" t="n"/>
      <c r="FF35" s="48" t="n"/>
      <c r="FG35" s="48" t="n"/>
      <c r="FH35" s="48" t="n"/>
      <c r="FI35" s="48" t="n"/>
      <c r="FJ35" s="48" t="n"/>
      <c r="FK35" s="48" t="n"/>
      <c r="FL35" s="48" t="n"/>
      <c r="FM35" s="48" t="n"/>
      <c r="FN35" s="48" t="n"/>
      <c r="FO35" s="48" t="n"/>
      <c r="FP35" s="48" t="n"/>
      <c r="FQ35" s="48" t="n"/>
      <c r="FR35" s="48" t="n"/>
      <c r="FS35" s="48" t="n"/>
      <c r="FT35" s="48" t="n"/>
      <c r="FU35" s="48" t="n"/>
      <c r="FV35" s="48" t="n"/>
      <c r="FW35" s="48" t="n"/>
      <c r="FX35" s="48" t="n"/>
      <c r="FY35" s="48" t="n"/>
      <c r="FZ35" s="48" t="n"/>
      <c r="GA35" s="48" t="n"/>
      <c r="GB35" s="48" t="n"/>
      <c r="GC35" s="48" t="n"/>
      <c r="GD35" s="48" t="n"/>
      <c r="GE35" s="48" t="n"/>
      <c r="GF35" s="48" t="n"/>
      <c r="GG35" s="48" t="n"/>
      <c r="GH35" s="48" t="n"/>
      <c r="GI35" s="48" t="n"/>
      <c r="GJ35" s="48" t="n"/>
      <c r="GK35" s="48" t="n"/>
      <c r="GL35" s="48" t="n"/>
      <c r="GM35" s="48" t="n"/>
      <c r="GN35" s="48" t="n"/>
      <c r="GO35" s="48" t="n"/>
      <c r="GP35" s="48" t="n"/>
      <c r="GQ35" s="48" t="n"/>
      <c r="GR35" s="48" t="n"/>
      <c r="GS35" s="48" t="n"/>
      <c r="GT35" s="48" t="n"/>
      <c r="GU35" s="48" t="n"/>
      <c r="GV35" s="48" t="n"/>
      <c r="GW35" s="48" t="n"/>
      <c r="GX35" s="48" t="n"/>
      <c r="GY35" s="48" t="n"/>
      <c r="GZ35" s="48" t="n"/>
      <c r="HA35" s="48" t="n"/>
      <c r="HB35" s="48" t="n"/>
      <c r="HC35" s="48" t="n"/>
      <c r="HD35" s="48" t="n"/>
      <c r="HE35" s="48" t="n"/>
      <c r="HF35" s="48" t="n"/>
      <c r="HG35" s="48" t="n"/>
      <c r="HH35" s="48" t="n"/>
      <c r="HI35" s="48" t="n"/>
      <c r="HJ35" s="48" t="n"/>
      <c r="HK35" s="48" t="n"/>
      <c r="HL35" s="48" t="n"/>
      <c r="HM35" s="48" t="n"/>
      <c r="HN35" s="48" t="n"/>
      <c r="HO35" s="48" t="n"/>
      <c r="HP35" s="48" t="n"/>
      <c r="HQ35" s="48" t="n"/>
      <c r="HR35" s="48" t="n"/>
      <c r="HS35" s="48" t="n"/>
      <c r="HT35" s="48" t="n"/>
      <c r="HU35" s="48" t="n"/>
      <c r="HV35" s="48" t="n"/>
      <c r="HW35" s="48" t="n"/>
      <c r="HX35" s="48" t="n"/>
      <c r="HY35" s="48" t="n"/>
      <c r="HZ35" s="48" t="n"/>
      <c r="IA35" s="48" t="n"/>
      <c r="IB35" s="48" t="n"/>
      <c r="IC35" s="48" t="n"/>
      <c r="ID35" s="48" t="n"/>
      <c r="IE35" s="48" t="n"/>
      <c r="IF35" s="48" t="n"/>
      <c r="IG35" s="48" t="n"/>
      <c r="IH35" s="48" t="n"/>
      <c r="II35" s="48" t="n"/>
      <c r="IJ35" s="48" t="n"/>
      <c r="IK35" s="48" t="n"/>
      <c r="IL35" s="48" t="n"/>
      <c r="IM35" s="48" t="n"/>
      <c r="IN35" s="48" t="n"/>
      <c r="IO35" s="48" t="n"/>
      <c r="IP35" s="48" t="n"/>
      <c r="IQ35" s="48" t="n"/>
      <c r="IR35" s="48" t="n"/>
      <c r="IS35" s="48" t="n"/>
      <c r="IT35" s="48" t="n"/>
      <c r="IU35" s="48" t="n"/>
      <c r="IV35" s="48" t="n"/>
      <c r="IW35" s="48" t="n"/>
      <c r="IX35" s="48" t="n"/>
      <c r="IY35" s="48" t="n"/>
      <c r="IZ35" s="48" t="n"/>
      <c r="JA35" s="48" t="n"/>
      <c r="JB35" s="48" t="n"/>
      <c r="JC35" s="48" t="n"/>
      <c r="JD35" s="48" t="n"/>
      <c r="JE35" s="48" t="n"/>
      <c r="JF35" s="48" t="n"/>
      <c r="JG35" s="48" t="n"/>
      <c r="JH35" s="48" t="n"/>
      <c r="JI35" s="48" t="n"/>
      <c r="JJ35" s="48" t="n"/>
      <c r="JK35" s="48" t="n"/>
      <c r="JL35" s="48" t="n"/>
      <c r="JM35" s="48" t="n"/>
      <c r="JN35" s="48" t="n"/>
      <c r="JO35" s="48" t="n"/>
      <c r="JP35" s="48" t="n"/>
      <c r="JQ35" s="48" t="n"/>
      <c r="JR35" s="48" t="n"/>
      <c r="JS35" s="48" t="n"/>
      <c r="JT35" s="48" t="n"/>
      <c r="JU35" s="48" t="n"/>
      <c r="JV35" s="48" t="n"/>
      <c r="JW35" s="48" t="n"/>
      <c r="JX35" s="48" t="n"/>
      <c r="JY35" s="48" t="n"/>
      <c r="JZ35" s="48" t="n"/>
      <c r="KA35" s="48" t="n"/>
      <c r="KB35" s="48" t="n"/>
      <c r="KC35" s="48" t="n"/>
      <c r="KD35" s="48" t="n"/>
      <c r="KE35" s="48" t="n"/>
      <c r="KF35" s="48" t="n"/>
      <c r="KG35" s="48" t="n"/>
      <c r="KH35" s="48" t="n"/>
      <c r="KI35" s="48" t="n"/>
      <c r="KJ35" s="48" t="n"/>
      <c r="KK35" s="48" t="n"/>
      <c r="KL35" s="48" t="n"/>
      <c r="KM35" s="48" t="n"/>
      <c r="KN35" s="48" t="n"/>
      <c r="KO35" s="48" t="n"/>
      <c r="KP35" s="48" t="n"/>
      <c r="KQ35" s="48" t="n"/>
      <c r="KR35" s="48" t="n"/>
      <c r="KS35" s="48" t="n"/>
      <c r="KT35" s="48" t="n"/>
      <c r="KU35" s="48" t="n"/>
      <c r="KV35" s="48" t="n"/>
      <c r="KW35" s="48" t="n"/>
      <c r="KX35" s="48" t="n"/>
      <c r="KY35" s="48" t="n"/>
      <c r="KZ35" s="48" t="n"/>
      <c r="LA35" s="48" t="n"/>
      <c r="LB35" s="48" t="n"/>
      <c r="LC35" s="48" t="n"/>
    </row>
    <row r="36" ht="20" customHeight="1">
      <c r="A36" s="44" t="inlineStr">
        <is>
          <t>СКВАЖИНА ЮГ-3</t>
        </is>
      </c>
      <c r="B36" s="44" t="n"/>
      <c r="C36" s="44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45" t="n"/>
      <c r="AI36" s="45" t="n"/>
      <c r="AJ36" s="45" t="n"/>
      <c r="AK36" s="45" t="n"/>
      <c r="AL36" s="45" t="n"/>
      <c r="AM36" s="45" t="n"/>
      <c r="AN36" s="45" t="n"/>
      <c r="AO36" s="45" t="n"/>
      <c r="AP36" s="45" t="n"/>
      <c r="AQ36" s="45" t="n"/>
      <c r="AR36" s="45" t="n"/>
      <c r="AS36" s="45" t="n"/>
      <c r="AT36" s="45" t="n"/>
      <c r="AU36" s="45" t="n"/>
      <c r="AV36" s="45" t="n"/>
      <c r="AW36" s="45" t="n"/>
      <c r="AX36" s="45" t="n"/>
      <c r="AY36" s="45" t="n"/>
      <c r="AZ36" s="45" t="n"/>
      <c r="BA36" s="45" t="n"/>
      <c r="BB36" s="45" t="n"/>
      <c r="BC36" s="45" t="n"/>
      <c r="BD36" s="45" t="n"/>
      <c r="BE36" s="45" t="n"/>
      <c r="BF36" s="45" t="n"/>
      <c r="BG36" s="45" t="n"/>
      <c r="BH36" s="45" t="n"/>
      <c r="BI36" s="45" t="n"/>
      <c r="BJ36" s="45" t="n"/>
      <c r="BK36" s="45" t="n"/>
      <c r="BL36" s="45" t="n"/>
      <c r="BM36" s="45" t="n"/>
      <c r="BN36" s="45" t="n"/>
      <c r="BO36" s="45" t="n"/>
      <c r="BP36" s="45" t="n"/>
      <c r="BQ36" s="45" t="n"/>
      <c r="BR36" s="45" t="n"/>
      <c r="BS36" s="45" t="n"/>
      <c r="BT36" s="45" t="n"/>
      <c r="BU36" s="45" t="n"/>
      <c r="BV36" s="45" t="n"/>
      <c r="BW36" s="45" t="n"/>
      <c r="BX36" s="45" t="n"/>
      <c r="BY36" s="45" t="n"/>
      <c r="BZ36" s="45" t="n"/>
      <c r="CA36" s="45" t="n"/>
      <c r="CB36" s="45" t="n"/>
      <c r="CC36" s="45" t="n"/>
      <c r="CD36" s="45" t="n"/>
      <c r="CE36" s="45" t="n"/>
      <c r="CF36" s="45" t="n"/>
      <c r="CG36" s="45" t="n"/>
      <c r="CH36" s="45" t="n"/>
      <c r="CI36" s="45" t="n"/>
      <c r="CJ36" s="45" t="n"/>
      <c r="CK36" s="45" t="n"/>
      <c r="CL36" s="45" t="n"/>
      <c r="CM36" s="45" t="n"/>
      <c r="CN36" s="45" t="n"/>
      <c r="CO36" s="45" t="n"/>
      <c r="CP36" s="45" t="n"/>
      <c r="CQ36" s="45" t="n"/>
      <c r="CR36" s="45" t="n"/>
      <c r="CS36" s="45" t="n"/>
      <c r="CT36" s="45" t="n"/>
      <c r="CU36" s="45" t="n"/>
      <c r="CV36" s="45" t="n"/>
      <c r="CW36" s="45" t="n"/>
      <c r="CX36" s="45" t="n"/>
      <c r="CY36" s="45" t="n"/>
      <c r="CZ36" s="45" t="n"/>
      <c r="DA36" s="45" t="n"/>
      <c r="DB36" s="45" t="n"/>
      <c r="DC36" s="45" t="n"/>
      <c r="DD36" s="45" t="n"/>
      <c r="DE36" s="45" t="n"/>
      <c r="DF36" s="45" t="n"/>
      <c r="DG36" s="45" t="n"/>
      <c r="DH36" s="45" t="n"/>
      <c r="DI36" s="45" t="n"/>
      <c r="DJ36" s="45" t="n"/>
      <c r="DK36" s="45" t="n"/>
      <c r="DL36" s="45" t="n"/>
      <c r="DM36" s="45" t="n"/>
      <c r="DN36" s="45" t="n"/>
      <c r="DO36" s="45" t="n"/>
      <c r="DP36" s="45" t="n"/>
      <c r="DQ36" s="45" t="n"/>
      <c r="DR36" s="45" t="n"/>
      <c r="DS36" s="45" t="n"/>
      <c r="DT36" s="45" t="n"/>
      <c r="DU36" s="45" t="n"/>
      <c r="DV36" s="45" t="n"/>
      <c r="DW36" s="45" t="n"/>
      <c r="DX36" s="45" t="n"/>
      <c r="DY36" s="45" t="n"/>
      <c r="DZ36" s="45" t="n"/>
      <c r="EA36" s="45" t="n"/>
      <c r="EB36" s="45" t="n"/>
      <c r="EC36" s="45" t="n"/>
      <c r="ED36" s="45" t="n"/>
      <c r="EE36" s="45" t="n"/>
      <c r="EF36" s="45" t="n"/>
      <c r="EG36" s="45" t="n"/>
      <c r="EH36" s="45" t="n"/>
      <c r="EI36" s="45" t="n"/>
      <c r="EJ36" s="45" t="n"/>
      <c r="EK36" s="45" t="n"/>
      <c r="EL36" s="45" t="n"/>
      <c r="EM36" s="45" t="n"/>
      <c r="EN36" s="45" t="n"/>
      <c r="EO36" s="45" t="n"/>
      <c r="EP36" s="45" t="n"/>
      <c r="EQ36" s="45" t="n"/>
      <c r="ER36" s="45" t="n"/>
      <c r="ES36" s="45" t="n"/>
      <c r="ET36" s="45" t="n"/>
      <c r="EU36" s="45" t="n"/>
      <c r="EV36" s="45" t="n"/>
      <c r="EW36" s="45" t="n"/>
      <c r="EX36" s="45" t="n"/>
      <c r="EY36" s="45" t="n"/>
      <c r="EZ36" s="45" t="n"/>
      <c r="FA36" s="45" t="n"/>
      <c r="FB36" s="45" t="n"/>
      <c r="FC36" s="45" t="n"/>
      <c r="FD36" s="45" t="n"/>
      <c r="FE36" s="45" t="n"/>
      <c r="FF36" s="45" t="n"/>
      <c r="FG36" s="45" t="n"/>
      <c r="FH36" s="45" t="n"/>
      <c r="FI36" s="45" t="n"/>
      <c r="FJ36" s="45" t="n"/>
      <c r="FK36" s="45" t="n"/>
      <c r="FL36" s="45" t="n"/>
      <c r="FM36" s="45" t="n"/>
      <c r="FN36" s="45" t="n"/>
      <c r="FO36" s="45" t="n"/>
      <c r="FP36" s="45" t="n"/>
      <c r="FQ36" s="45" t="n"/>
      <c r="FR36" s="45" t="n"/>
      <c r="FS36" s="45" t="n"/>
      <c r="FT36" s="45" t="n"/>
      <c r="FU36" s="45" t="n"/>
      <c r="FV36" s="45" t="n"/>
      <c r="FW36" s="45" t="n"/>
      <c r="FX36" s="45" t="n"/>
      <c r="FY36" s="45" t="n"/>
      <c r="FZ36" s="45" t="n"/>
      <c r="GA36" s="45" t="n"/>
      <c r="GB36" s="45" t="n"/>
      <c r="GC36" s="45" t="n"/>
      <c r="GD36" s="45" t="n"/>
      <c r="GE36" s="45" t="n"/>
      <c r="GF36" s="45" t="n"/>
      <c r="GG36" s="45" t="n"/>
      <c r="GH36" s="45" t="n"/>
      <c r="GI36" s="45" t="n"/>
      <c r="GJ36" s="45" t="n"/>
      <c r="GK36" s="45" t="n"/>
      <c r="GL36" s="45" t="n"/>
      <c r="GM36" s="45" t="n"/>
      <c r="GN36" s="45" t="n"/>
      <c r="GO36" s="45" t="n"/>
      <c r="GP36" s="45" t="n"/>
      <c r="GQ36" s="45" t="n"/>
      <c r="GR36" s="45" t="n"/>
      <c r="GS36" s="45" t="n"/>
      <c r="GT36" s="45" t="n"/>
      <c r="GU36" s="45" t="n"/>
      <c r="GV36" s="45" t="n"/>
      <c r="GW36" s="45" t="n"/>
      <c r="GX36" s="45" t="n"/>
      <c r="GY36" s="45" t="n"/>
      <c r="GZ36" s="45" t="n"/>
      <c r="HA36" s="45" t="n"/>
      <c r="HB36" s="45" t="n"/>
      <c r="HC36" s="45" t="n"/>
      <c r="HD36" s="45" t="n"/>
      <c r="HE36" s="45" t="n"/>
      <c r="HF36" s="45" t="n"/>
      <c r="HG36" s="45" t="n"/>
      <c r="HH36" s="45" t="n"/>
      <c r="HI36" s="45" t="n"/>
      <c r="HJ36" s="45" t="n"/>
      <c r="HK36" s="45" t="n"/>
      <c r="HL36" s="45" t="n"/>
      <c r="HM36" s="45" t="n"/>
      <c r="HN36" s="45" t="n"/>
      <c r="HO36" s="45" t="n"/>
      <c r="HP36" s="45" t="n"/>
      <c r="HQ36" s="45" t="n"/>
      <c r="HR36" s="45" t="n"/>
      <c r="HS36" s="45" t="n"/>
      <c r="HT36" s="45" t="n"/>
      <c r="HU36" s="45" t="n"/>
      <c r="HV36" s="45" t="n"/>
      <c r="HW36" s="45" t="n"/>
      <c r="HX36" s="45" t="n"/>
      <c r="HY36" s="45" t="n"/>
      <c r="HZ36" s="45" t="n"/>
      <c r="IA36" s="45" t="n"/>
      <c r="IB36" s="45" t="n"/>
      <c r="IC36" s="45" t="n"/>
      <c r="ID36" s="45" t="n"/>
      <c r="IE36" s="45" t="n"/>
      <c r="IF36" s="45" t="n"/>
      <c r="IG36" s="45" t="n"/>
      <c r="IH36" s="45" t="n"/>
      <c r="II36" s="45" t="n"/>
      <c r="IJ36" s="45" t="n"/>
      <c r="IK36" s="45" t="n"/>
      <c r="IL36" s="45" t="n"/>
      <c r="IM36" s="45" t="n"/>
      <c r="IN36" s="45" t="n"/>
      <c r="IO36" s="45" t="n"/>
      <c r="IP36" s="45" t="n"/>
      <c r="IQ36" s="45" t="n"/>
      <c r="IR36" s="45" t="n"/>
      <c r="IS36" s="45" t="n"/>
      <c r="IT36" s="45" t="n"/>
      <c r="IU36" s="45" t="n"/>
      <c r="IV36" s="45" t="n"/>
      <c r="IW36" s="45" t="n"/>
      <c r="IX36" s="45" t="n"/>
      <c r="IY36" s="45" t="n"/>
      <c r="IZ36" s="45" t="n"/>
      <c r="JA36" s="45" t="n"/>
      <c r="JB36" s="45" t="n"/>
      <c r="JC36" s="45" t="n"/>
      <c r="JD36" s="45" t="n"/>
      <c r="JE36" s="45" t="n"/>
      <c r="JF36" s="45" t="n"/>
      <c r="JG36" s="45" t="n"/>
      <c r="JH36" s="45" t="n"/>
      <c r="JI36" s="45" t="n"/>
      <c r="JJ36" s="45" t="n"/>
      <c r="JK36" s="45" t="n"/>
      <c r="JL36" s="45" t="n"/>
      <c r="JM36" s="45" t="n"/>
      <c r="JN36" s="45" t="n"/>
      <c r="JO36" s="45" t="n"/>
      <c r="JP36" s="45" t="n"/>
      <c r="JQ36" s="45" t="n"/>
      <c r="JR36" s="45" t="n"/>
      <c r="JS36" s="45" t="n"/>
      <c r="JT36" s="45" t="n"/>
      <c r="JU36" s="45" t="n"/>
      <c r="JV36" s="45" t="n"/>
      <c r="JW36" s="45" t="n"/>
      <c r="JX36" s="45" t="n"/>
      <c r="JY36" s="45" t="n"/>
      <c r="JZ36" s="45" t="n"/>
      <c r="KA36" s="45" t="n"/>
      <c r="KB36" s="45" t="n"/>
      <c r="KC36" s="45" t="n"/>
      <c r="KD36" s="45" t="n"/>
      <c r="KE36" s="45" t="n"/>
      <c r="KF36" s="45" t="n"/>
      <c r="KG36" s="45" t="n"/>
      <c r="KH36" s="45" t="n"/>
      <c r="KI36" s="45" t="n"/>
      <c r="KJ36" s="45" t="n"/>
      <c r="KK36" s="45" t="n"/>
      <c r="KL36" s="45" t="n"/>
      <c r="KM36" s="45" t="n"/>
      <c r="KN36" s="45" t="n"/>
      <c r="KO36" s="45" t="n"/>
      <c r="KP36" s="45" t="n"/>
      <c r="KQ36" s="45" t="n"/>
      <c r="KR36" s="45" t="n"/>
      <c r="KS36" s="45" t="n"/>
      <c r="KT36" s="45" t="n"/>
      <c r="KU36" s="45" t="n"/>
      <c r="KV36" s="45" t="n"/>
      <c r="KW36" s="45" t="n"/>
      <c r="KX36" s="45" t="n"/>
      <c r="KY36" s="45" t="n"/>
      <c r="KZ36" s="45" t="n"/>
      <c r="LA36" s="45" t="n"/>
      <c r="LB36" s="45" t="n"/>
      <c r="LC36" s="45" t="n"/>
    </row>
    <row r="37" ht="17" customHeight="1">
      <c r="A37" s="11" t="n">
        <v>29</v>
      </c>
      <c r="B37" s="11" t="inlineStr">
        <is>
          <t>ЮГ-3</t>
        </is>
      </c>
      <c r="C37" s="16">
        <f>'ЮГ-3'!B5</f>
        <v/>
      </c>
      <c r="D37" s="11">
        <f>'ЮГ-3'!C5</f>
        <v/>
      </c>
      <c r="E37" s="11">
        <f>'ЮГ-3'!D5</f>
        <v/>
      </c>
      <c r="F37" s="34">
        <f>'ЮГ-3'!J5</f>
        <v/>
      </c>
      <c r="G37" s="34">
        <f>'ЮГ-3'!G8</f>
        <v/>
      </c>
      <c r="H37" s="34">
        <f>'ЮГ-3'!K5</f>
        <v/>
      </c>
      <c r="I37" s="46">
        <f>'ЮГ-3'!H5</f>
        <v/>
      </c>
      <c r="J37" s="11">
        <f>'ЮГ-3'!L5</f>
        <v/>
      </c>
      <c r="K37" s="11">
        <f>'ЮГ-3'!M5</f>
        <v/>
      </c>
      <c r="L37" s="47">
        <f>'ЮГ-3'!N5</f>
        <v/>
      </c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  <c r="AA37" s="48" t="n"/>
      <c r="AB37" s="48" t="n"/>
      <c r="AC37" s="48" t="n"/>
      <c r="AD37" s="48" t="n"/>
      <c r="AE37" s="48" t="n"/>
      <c r="AF37" s="48" t="n"/>
      <c r="AG37" s="48" t="n"/>
      <c r="AH37" s="48" t="n"/>
      <c r="AI37" s="48" t="n"/>
      <c r="AJ37" s="48" t="n"/>
      <c r="AK37" s="48" t="n"/>
      <c r="AL37" s="48" t="n"/>
      <c r="AM37" s="48" t="n"/>
      <c r="AN37" s="48" t="n"/>
      <c r="AO37" s="48" t="n"/>
      <c r="AP37" s="48" t="n"/>
      <c r="AQ37" s="48" t="n"/>
      <c r="AR37" s="48" t="n"/>
      <c r="AS37" s="48" t="n"/>
      <c r="AT37" s="48" t="n"/>
      <c r="AU37" s="48" t="n"/>
      <c r="AV37" s="48" t="n"/>
      <c r="AW37" s="48" t="n"/>
      <c r="AX37" s="48" t="n"/>
      <c r="AY37" s="48" t="n"/>
      <c r="AZ37" s="48" t="n"/>
      <c r="BA37" s="48" t="n"/>
      <c r="BB37" s="48" t="n"/>
      <c r="BC37" s="48" t="n"/>
      <c r="BD37" s="48" t="n"/>
      <c r="BE37" s="48" t="n"/>
      <c r="BF37" s="48" t="n"/>
      <c r="BG37" s="48" t="n"/>
      <c r="BH37" s="48" t="n"/>
      <c r="BI37" s="48" t="n"/>
      <c r="BJ37" s="48" t="n"/>
      <c r="BK37" s="48" t="n"/>
      <c r="BL37" s="48" t="n"/>
      <c r="BM37" s="48" t="n"/>
      <c r="BN37" s="48" t="n"/>
      <c r="BO37" s="48" t="n"/>
      <c r="BP37" s="48" t="n"/>
      <c r="BQ37" s="48" t="n"/>
      <c r="BR37" s="48" t="n"/>
      <c r="BS37" s="48" t="n"/>
      <c r="BT37" s="48" t="n"/>
      <c r="BU37" s="48" t="n"/>
      <c r="BV37" s="48" t="n"/>
      <c r="BW37" s="48" t="n"/>
      <c r="BX37" s="48" t="n"/>
      <c r="BY37" s="48" t="n"/>
      <c r="BZ37" s="48" t="n"/>
      <c r="CA37" s="48" t="n"/>
      <c r="CB37" s="48" t="n"/>
      <c r="CC37" s="48" t="n"/>
      <c r="CD37" s="48" t="n"/>
      <c r="CE37" s="48" t="n"/>
      <c r="CF37" s="48" t="n"/>
      <c r="CG37" s="48" t="n"/>
      <c r="CH37" s="48" t="n"/>
      <c r="CI37" s="48" t="n"/>
      <c r="CJ37" s="48" t="n"/>
      <c r="CK37" s="48" t="n"/>
      <c r="CL37" s="48" t="n"/>
      <c r="CM37" s="48" t="n"/>
      <c r="CN37" s="48" t="n"/>
      <c r="CO37" s="48" t="n"/>
      <c r="CP37" s="48" t="n"/>
      <c r="CQ37" s="48" t="n"/>
      <c r="CR37" s="48" t="n"/>
      <c r="CS37" s="48" t="n"/>
      <c r="CT37" s="48" t="n"/>
      <c r="CU37" s="48" t="n"/>
      <c r="CV37" s="48" t="n"/>
      <c r="CW37" s="48" t="n"/>
      <c r="CX37" s="48" t="n"/>
      <c r="CY37" s="48" t="n"/>
      <c r="CZ37" s="48" t="n"/>
      <c r="DA37" s="48" t="n"/>
      <c r="DB37" s="48" t="n"/>
      <c r="DC37" s="48" t="n"/>
      <c r="DD37" s="48" t="n"/>
      <c r="DE37" s="48" t="n"/>
      <c r="DF37" s="48" t="n"/>
      <c r="DG37" s="48" t="n"/>
      <c r="DH37" s="48" t="n"/>
      <c r="DI37" s="48" t="n"/>
      <c r="DJ37" s="48" t="n"/>
      <c r="DK37" s="48" t="n"/>
      <c r="DL37" s="48" t="n"/>
      <c r="DM37" s="48" t="n"/>
      <c r="DN37" s="48" t="n"/>
      <c r="DO37" s="48" t="n"/>
      <c r="DP37" s="48" t="n"/>
      <c r="DQ37" s="48" t="n"/>
      <c r="DR37" s="48" t="n"/>
      <c r="DS37" s="48" t="n"/>
      <c r="DT37" s="48" t="n"/>
      <c r="DU37" s="48" t="n"/>
      <c r="DV37" s="48" t="n"/>
      <c r="DW37" s="48" t="n"/>
      <c r="DX37" s="48" t="n"/>
      <c r="DY37" s="48" t="n"/>
      <c r="DZ37" s="48" t="n"/>
      <c r="EA37" s="48" t="n"/>
      <c r="EB37" s="48" t="n"/>
      <c r="EC37" s="48" t="n"/>
      <c r="ED37" s="48" t="n"/>
      <c r="EE37" s="48" t="n"/>
      <c r="EF37" s="48" t="n"/>
      <c r="EG37" s="48" t="n"/>
      <c r="EH37" s="48" t="n"/>
      <c r="EI37" s="48" t="n"/>
      <c r="EJ37" s="48" t="n"/>
      <c r="EK37" s="48" t="n"/>
      <c r="EL37" s="48" t="n"/>
      <c r="EM37" s="48" t="n"/>
      <c r="EN37" s="48" t="n"/>
      <c r="EO37" s="48" t="n"/>
      <c r="EP37" s="48" t="n"/>
      <c r="EQ37" s="48" t="n"/>
      <c r="ER37" s="48" t="n"/>
      <c r="ES37" s="48" t="n"/>
      <c r="ET37" s="48" t="n"/>
      <c r="EU37" s="48" t="n"/>
      <c r="EV37" s="48" t="n"/>
      <c r="EW37" s="48" t="n"/>
      <c r="EX37" s="48" t="n"/>
      <c r="EY37" s="48" t="n"/>
      <c r="EZ37" s="48" t="n"/>
      <c r="FA37" s="48" t="n"/>
      <c r="FB37" s="48" t="n"/>
      <c r="FC37" s="48" t="n"/>
      <c r="FD37" s="48" t="n"/>
      <c r="FE37" s="48" t="n"/>
      <c r="FF37" s="48" t="n"/>
      <c r="FG37" s="48" t="n"/>
      <c r="FH37" s="48" t="n"/>
      <c r="FI37" s="48" t="n"/>
      <c r="FJ37" s="48" t="n"/>
      <c r="FK37" s="48" t="n"/>
      <c r="FL37" s="48" t="n"/>
      <c r="FM37" s="48" t="n"/>
      <c r="FN37" s="48" t="n"/>
      <c r="FO37" s="48" t="n"/>
      <c r="FP37" s="48" t="n"/>
      <c r="FQ37" s="48" t="n"/>
      <c r="FR37" s="48" t="n"/>
      <c r="FS37" s="48" t="n"/>
      <c r="FT37" s="48" t="n"/>
      <c r="FU37" s="48" t="n"/>
      <c r="FV37" s="48" t="n"/>
      <c r="FW37" s="48" t="n"/>
      <c r="FX37" s="48" t="n"/>
      <c r="FY37" s="48" t="n"/>
      <c r="FZ37" s="48" t="n"/>
      <c r="GA37" s="48" t="n"/>
      <c r="GB37" s="48" t="n"/>
      <c r="GC37" s="48" t="n"/>
      <c r="GD37" s="48" t="n"/>
      <c r="GE37" s="48" t="n"/>
      <c r="GF37" s="48" t="n"/>
      <c r="GG37" s="48" t="n"/>
      <c r="GH37" s="48" t="n"/>
      <c r="GI37" s="48" t="n"/>
      <c r="GJ37" s="48" t="n"/>
      <c r="GK37" s="48" t="n"/>
      <c r="GL37" s="48" t="n"/>
      <c r="GM37" s="48" t="n"/>
      <c r="GN37" s="48" t="n"/>
      <c r="GO37" s="48" t="n"/>
      <c r="GP37" s="48" t="n"/>
      <c r="GQ37" s="48" t="n"/>
      <c r="GR37" s="48" t="n"/>
      <c r="GS37" s="48" t="n"/>
      <c r="GT37" s="48" t="n"/>
      <c r="GU37" s="48" t="n"/>
      <c r="GV37" s="48" t="n"/>
      <c r="GW37" s="48" t="n"/>
      <c r="GX37" s="48" t="n"/>
      <c r="GY37" s="48" t="n"/>
      <c r="GZ37" s="48" t="n"/>
      <c r="HA37" s="48" t="n"/>
      <c r="HB37" s="48" t="n"/>
      <c r="HC37" s="48" t="n"/>
      <c r="HD37" s="48" t="n"/>
      <c r="HE37" s="48" t="n"/>
      <c r="HF37" s="48" t="n"/>
      <c r="HG37" s="48" t="n"/>
      <c r="HH37" s="48" t="n"/>
      <c r="HI37" s="48" t="n"/>
      <c r="HJ37" s="48" t="n"/>
      <c r="HK37" s="48" t="n"/>
      <c r="HL37" s="48" t="n"/>
      <c r="HM37" s="48" t="n"/>
      <c r="HN37" s="48" t="n"/>
      <c r="HO37" s="48" t="n"/>
      <c r="HP37" s="48" t="n"/>
      <c r="HQ37" s="48" t="n"/>
      <c r="HR37" s="48" t="n"/>
      <c r="HS37" s="48" t="n"/>
      <c r="HT37" s="48" t="n"/>
      <c r="HU37" s="48" t="n"/>
      <c r="HV37" s="48" t="n"/>
      <c r="HW37" s="48" t="n"/>
      <c r="HX37" s="48" t="n"/>
      <c r="HY37" s="48" t="n"/>
      <c r="HZ37" s="48" t="n"/>
      <c r="IA37" s="48" t="n"/>
      <c r="IB37" s="48" t="n"/>
      <c r="IC37" s="48" t="n"/>
      <c r="ID37" s="48" t="n"/>
      <c r="IE37" s="48" t="n"/>
      <c r="IF37" s="48" t="n"/>
      <c r="IG37" s="48" t="n"/>
      <c r="IH37" s="48" t="n"/>
      <c r="II37" s="48" t="n"/>
      <c r="IJ37" s="48" t="n"/>
      <c r="IK37" s="48" t="n"/>
      <c r="IL37" s="48" t="n"/>
      <c r="IM37" s="48" t="n"/>
      <c r="IN37" s="48" t="n"/>
      <c r="IO37" s="48" t="n"/>
      <c r="IP37" s="48" t="n"/>
      <c r="IQ37" s="48" t="n"/>
      <c r="IR37" s="48" t="n"/>
      <c r="IS37" s="48" t="n"/>
      <c r="IT37" s="48" t="n"/>
      <c r="IU37" s="48" t="n"/>
      <c r="IV37" s="48" t="n"/>
      <c r="IW37" s="48" t="n"/>
      <c r="IX37" s="48" t="n"/>
      <c r="IY37" s="48" t="n"/>
      <c r="IZ37" s="48" t="n"/>
      <c r="JA37" s="48" t="n"/>
      <c r="JB37" s="48" t="n"/>
      <c r="JC37" s="48" t="n"/>
      <c r="JD37" s="48" t="n"/>
      <c r="JE37" s="48" t="n"/>
      <c r="JF37" s="48" t="n"/>
      <c r="JG37" s="48" t="n"/>
      <c r="JH37" s="48" t="n"/>
      <c r="JI37" s="48" t="n"/>
      <c r="JJ37" s="48" t="n"/>
      <c r="JK37" s="48" t="n"/>
      <c r="JL37" s="48" t="n"/>
      <c r="JM37" s="48" t="n"/>
      <c r="JN37" s="48" t="n"/>
      <c r="JO37" s="48" t="n"/>
      <c r="JP37" s="48" t="n"/>
      <c r="JQ37" s="48" t="n"/>
      <c r="JR37" s="48" t="n"/>
      <c r="JS37" s="48" t="n"/>
      <c r="JT37" s="48" t="n"/>
      <c r="JU37" s="48" t="n"/>
      <c r="JV37" s="48" t="n"/>
      <c r="JW37" s="48" t="n"/>
      <c r="JX37" s="48" t="n"/>
      <c r="JY37" s="48" t="n"/>
      <c r="JZ37" s="48" t="n"/>
      <c r="KA37" s="48" t="n"/>
      <c r="KB37" s="48" t="n"/>
      <c r="KC37" s="48" t="n"/>
      <c r="KD37" s="48" t="n"/>
      <c r="KE37" s="48" t="n"/>
      <c r="KF37" s="48" t="n"/>
      <c r="KG37" s="48" t="n"/>
      <c r="KH37" s="48" t="n"/>
      <c r="KI37" s="48" t="n"/>
      <c r="KJ37" s="48" t="n"/>
      <c r="KK37" s="48" t="n"/>
      <c r="KL37" s="48" t="n"/>
      <c r="KM37" s="48" t="n"/>
      <c r="KN37" s="48" t="n"/>
      <c r="KO37" s="48" t="n"/>
      <c r="KP37" s="48" t="n"/>
      <c r="KQ37" s="48" t="n"/>
      <c r="KR37" s="48" t="n"/>
      <c r="KS37" s="48" t="n"/>
      <c r="KT37" s="48" t="n"/>
      <c r="KU37" s="48" t="n"/>
      <c r="KV37" s="48" t="n"/>
      <c r="KW37" s="48" t="n"/>
      <c r="KX37" s="48" t="n"/>
      <c r="KY37" s="48" t="n"/>
      <c r="KZ37" s="48" t="n"/>
      <c r="LA37" s="48" t="n"/>
      <c r="LB37" s="48" t="n"/>
      <c r="LC37" s="48" t="n"/>
    </row>
    <row r="38" ht="17" customHeight="1">
      <c r="A38" s="11" t="n">
        <v>30</v>
      </c>
      <c r="B38" s="11" t="inlineStr">
        <is>
          <t>ЮГ-3</t>
        </is>
      </c>
      <c r="C38" s="16">
        <f>'ЮГ-3'!B15</f>
        <v/>
      </c>
      <c r="D38" s="11">
        <f>'ЮГ-3'!C15</f>
        <v/>
      </c>
      <c r="E38" s="11">
        <f>'ЮГ-3'!D15</f>
        <v/>
      </c>
      <c r="F38" s="34">
        <f>'ЮГ-3'!J15</f>
        <v/>
      </c>
      <c r="G38" s="34">
        <f>'ЮГ-3'!G18</f>
        <v/>
      </c>
      <c r="H38" s="34">
        <f>'ЮГ-3'!K15</f>
        <v/>
      </c>
      <c r="I38" s="46">
        <f>'ЮГ-3'!H15</f>
        <v/>
      </c>
      <c r="J38" s="11">
        <f>'ЮГ-3'!L15</f>
        <v/>
      </c>
      <c r="K38" s="11">
        <f>'ЮГ-3'!M15</f>
        <v/>
      </c>
      <c r="L38" s="47">
        <f>'ЮГ-3'!N15</f>
        <v/>
      </c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  <c r="AA38" s="48" t="n"/>
      <c r="AB38" s="48" t="n"/>
      <c r="AC38" s="48" t="n"/>
      <c r="AD38" s="48" t="n"/>
      <c r="AE38" s="48" t="n"/>
      <c r="AF38" s="48" t="n"/>
      <c r="AG38" s="48" t="n"/>
      <c r="AH38" s="48" t="n"/>
      <c r="AI38" s="48" t="n"/>
      <c r="AJ38" s="48" t="n"/>
      <c r="AK38" s="48" t="n"/>
      <c r="AL38" s="48" t="n"/>
      <c r="AM38" s="48" t="n"/>
      <c r="AN38" s="48" t="n"/>
      <c r="AO38" s="48" t="n"/>
      <c r="AP38" s="48" t="n"/>
      <c r="AQ38" s="48" t="n"/>
      <c r="AR38" s="48" t="n"/>
      <c r="AS38" s="48" t="n"/>
      <c r="AT38" s="48" t="n"/>
      <c r="AU38" s="48" t="n"/>
      <c r="AV38" s="48" t="n"/>
      <c r="AW38" s="48" t="n"/>
      <c r="AX38" s="48" t="n"/>
      <c r="AY38" s="48" t="n"/>
      <c r="AZ38" s="48" t="n"/>
      <c r="BA38" s="48" t="n"/>
      <c r="BB38" s="48" t="n"/>
      <c r="BC38" s="48" t="n"/>
      <c r="BD38" s="48" t="n"/>
      <c r="BE38" s="48" t="n"/>
      <c r="BF38" s="48" t="n"/>
      <c r="BG38" s="48" t="n"/>
      <c r="BH38" s="48" t="n"/>
      <c r="BI38" s="48" t="n"/>
      <c r="BJ38" s="48" t="n"/>
      <c r="BK38" s="48" t="n"/>
      <c r="BL38" s="48" t="n"/>
      <c r="BM38" s="48" t="n"/>
      <c r="BN38" s="48" t="n"/>
      <c r="BO38" s="48" t="n"/>
      <c r="BP38" s="48" t="n"/>
      <c r="BQ38" s="48" t="n"/>
      <c r="BR38" s="48" t="n"/>
      <c r="BS38" s="48" t="n"/>
      <c r="BT38" s="48" t="n"/>
      <c r="BU38" s="48" t="n"/>
      <c r="BV38" s="48" t="n"/>
      <c r="BW38" s="48" t="n"/>
      <c r="BX38" s="48" t="n"/>
      <c r="BY38" s="48" t="n"/>
      <c r="BZ38" s="48" t="n"/>
      <c r="CA38" s="48" t="n"/>
      <c r="CB38" s="48" t="n"/>
      <c r="CC38" s="48" t="n"/>
      <c r="CD38" s="48" t="n"/>
      <c r="CE38" s="48" t="n"/>
      <c r="CF38" s="48" t="n"/>
      <c r="CG38" s="48" t="n"/>
      <c r="CH38" s="48" t="n"/>
      <c r="CI38" s="48" t="n"/>
      <c r="CJ38" s="48" t="n"/>
      <c r="CK38" s="48" t="n"/>
      <c r="CL38" s="48" t="n"/>
      <c r="CM38" s="48" t="n"/>
      <c r="CN38" s="48" t="n"/>
      <c r="CO38" s="48" t="n"/>
      <c r="CP38" s="48" t="n"/>
      <c r="CQ38" s="48" t="n"/>
      <c r="CR38" s="48" t="n"/>
      <c r="CS38" s="48" t="n"/>
      <c r="CT38" s="48" t="n"/>
      <c r="CU38" s="48" t="n"/>
      <c r="CV38" s="48" t="n"/>
      <c r="CW38" s="48" t="n"/>
      <c r="CX38" s="48" t="n"/>
      <c r="CY38" s="48" t="n"/>
      <c r="CZ38" s="48" t="n"/>
      <c r="DA38" s="48" t="n"/>
      <c r="DB38" s="48" t="n"/>
      <c r="DC38" s="48" t="n"/>
      <c r="DD38" s="48" t="n"/>
      <c r="DE38" s="48" t="n"/>
      <c r="DF38" s="48" t="n"/>
      <c r="DG38" s="48" t="n"/>
      <c r="DH38" s="48" t="n"/>
      <c r="DI38" s="48" t="n"/>
      <c r="DJ38" s="48" t="n"/>
      <c r="DK38" s="48" t="n"/>
      <c r="DL38" s="48" t="n"/>
      <c r="DM38" s="48" t="n"/>
      <c r="DN38" s="48" t="n"/>
      <c r="DO38" s="48" t="n"/>
      <c r="DP38" s="48" t="n"/>
      <c r="DQ38" s="48" t="n"/>
      <c r="DR38" s="48" t="n"/>
      <c r="DS38" s="48" t="n"/>
      <c r="DT38" s="48" t="n"/>
      <c r="DU38" s="48" t="n"/>
      <c r="DV38" s="48" t="n"/>
      <c r="DW38" s="48" t="n"/>
      <c r="DX38" s="48" t="n"/>
      <c r="DY38" s="48" t="n"/>
      <c r="DZ38" s="48" t="n"/>
      <c r="EA38" s="48" t="n"/>
      <c r="EB38" s="48" t="n"/>
      <c r="EC38" s="48" t="n"/>
      <c r="ED38" s="48" t="n"/>
      <c r="EE38" s="48" t="n"/>
      <c r="EF38" s="48" t="n"/>
      <c r="EG38" s="48" t="n"/>
      <c r="EH38" s="48" t="n"/>
      <c r="EI38" s="48" t="n"/>
      <c r="EJ38" s="48" t="n"/>
      <c r="EK38" s="48" t="n"/>
      <c r="EL38" s="48" t="n"/>
      <c r="EM38" s="48" t="n"/>
      <c r="EN38" s="48" t="n"/>
      <c r="EO38" s="48" t="n"/>
      <c r="EP38" s="48" t="n"/>
      <c r="EQ38" s="48" t="n"/>
      <c r="ER38" s="48" t="n"/>
      <c r="ES38" s="48" t="n"/>
      <c r="ET38" s="48" t="n"/>
      <c r="EU38" s="48" t="n"/>
      <c r="EV38" s="48" t="n"/>
      <c r="EW38" s="48" t="n"/>
      <c r="EX38" s="48" t="n"/>
      <c r="EY38" s="48" t="n"/>
      <c r="EZ38" s="48" t="n"/>
      <c r="FA38" s="48" t="n"/>
      <c r="FB38" s="48" t="n"/>
      <c r="FC38" s="48" t="n"/>
      <c r="FD38" s="48" t="n"/>
      <c r="FE38" s="48" t="n"/>
      <c r="FF38" s="48" t="n"/>
      <c r="FG38" s="48" t="n"/>
      <c r="FH38" s="48" t="n"/>
      <c r="FI38" s="48" t="n"/>
      <c r="FJ38" s="48" t="n"/>
      <c r="FK38" s="48" t="n"/>
      <c r="FL38" s="48" t="n"/>
      <c r="FM38" s="48" t="n"/>
      <c r="FN38" s="48" t="n"/>
      <c r="FO38" s="48" t="n"/>
      <c r="FP38" s="48" t="n"/>
      <c r="FQ38" s="48" t="n"/>
      <c r="FR38" s="48" t="n"/>
      <c r="FS38" s="48" t="n"/>
      <c r="FT38" s="48" t="n"/>
      <c r="FU38" s="48" t="n"/>
      <c r="FV38" s="48" t="n"/>
      <c r="FW38" s="48" t="n"/>
      <c r="FX38" s="48" t="n"/>
      <c r="FY38" s="48" t="n"/>
      <c r="FZ38" s="48" t="n"/>
      <c r="GA38" s="48" t="n"/>
      <c r="GB38" s="48" t="n"/>
      <c r="GC38" s="48" t="n"/>
      <c r="GD38" s="48" t="n"/>
      <c r="GE38" s="48" t="n"/>
      <c r="GF38" s="48" t="n"/>
      <c r="GG38" s="48" t="n"/>
      <c r="GH38" s="48" t="n"/>
      <c r="GI38" s="48" t="n"/>
      <c r="GJ38" s="48" t="n"/>
      <c r="GK38" s="48" t="n"/>
      <c r="GL38" s="48" t="n"/>
      <c r="GM38" s="48" t="n"/>
      <c r="GN38" s="48" t="n"/>
      <c r="GO38" s="48" t="n"/>
      <c r="GP38" s="48" t="n"/>
      <c r="GQ38" s="48" t="n"/>
      <c r="GR38" s="48" t="n"/>
      <c r="GS38" s="48" t="n"/>
      <c r="GT38" s="48" t="n"/>
      <c r="GU38" s="48" t="n"/>
      <c r="GV38" s="48" t="n"/>
      <c r="GW38" s="48" t="n"/>
      <c r="GX38" s="48" t="n"/>
      <c r="GY38" s="48" t="n"/>
      <c r="GZ38" s="48" t="n"/>
      <c r="HA38" s="48" t="n"/>
      <c r="HB38" s="48" t="n"/>
      <c r="HC38" s="48" t="n"/>
      <c r="HD38" s="48" t="n"/>
      <c r="HE38" s="48" t="n"/>
      <c r="HF38" s="48" t="n"/>
      <c r="HG38" s="48" t="n"/>
      <c r="HH38" s="48" t="n"/>
      <c r="HI38" s="48" t="n"/>
      <c r="HJ38" s="48" t="n"/>
      <c r="HK38" s="48" t="n"/>
      <c r="HL38" s="48" t="n"/>
      <c r="HM38" s="48" t="n"/>
      <c r="HN38" s="48" t="n"/>
      <c r="HO38" s="48" t="n"/>
      <c r="HP38" s="48" t="n"/>
      <c r="HQ38" s="48" t="n"/>
      <c r="HR38" s="48" t="n"/>
      <c r="HS38" s="48" t="n"/>
      <c r="HT38" s="48" t="n"/>
      <c r="HU38" s="48" t="n"/>
      <c r="HV38" s="48" t="n"/>
      <c r="HW38" s="48" t="n"/>
      <c r="HX38" s="48" t="n"/>
      <c r="HY38" s="48" t="n"/>
      <c r="HZ38" s="48" t="n"/>
      <c r="IA38" s="48" t="n"/>
      <c r="IB38" s="48" t="n"/>
      <c r="IC38" s="48" t="n"/>
      <c r="ID38" s="48" t="n"/>
      <c r="IE38" s="48" t="n"/>
      <c r="IF38" s="48" t="n"/>
      <c r="IG38" s="48" t="n"/>
      <c r="IH38" s="48" t="n"/>
      <c r="II38" s="48" t="n"/>
      <c r="IJ38" s="48" t="n"/>
      <c r="IK38" s="48" t="n"/>
      <c r="IL38" s="48" t="n"/>
      <c r="IM38" s="48" t="n"/>
      <c r="IN38" s="48" t="n"/>
      <c r="IO38" s="48" t="n"/>
      <c r="IP38" s="48" t="n"/>
      <c r="IQ38" s="48" t="n"/>
      <c r="IR38" s="48" t="n"/>
      <c r="IS38" s="48" t="n"/>
      <c r="IT38" s="48" t="n"/>
      <c r="IU38" s="48" t="n"/>
      <c r="IV38" s="48" t="n"/>
      <c r="IW38" s="48" t="n"/>
      <c r="IX38" s="48" t="n"/>
      <c r="IY38" s="48" t="n"/>
      <c r="IZ38" s="48" t="n"/>
      <c r="JA38" s="48" t="n"/>
      <c r="JB38" s="48" t="n"/>
      <c r="JC38" s="48" t="n"/>
      <c r="JD38" s="48" t="n"/>
      <c r="JE38" s="48" t="n"/>
      <c r="JF38" s="48" t="n"/>
      <c r="JG38" s="48" t="n"/>
      <c r="JH38" s="48" t="n"/>
      <c r="JI38" s="48" t="n"/>
      <c r="JJ38" s="48" t="n"/>
      <c r="JK38" s="48" t="n"/>
      <c r="JL38" s="48" t="n"/>
      <c r="JM38" s="48" t="n"/>
      <c r="JN38" s="48" t="n"/>
      <c r="JO38" s="48" t="n"/>
      <c r="JP38" s="48" t="n"/>
      <c r="JQ38" s="48" t="n"/>
      <c r="JR38" s="48" t="n"/>
      <c r="JS38" s="48" t="n"/>
      <c r="JT38" s="48" t="n"/>
      <c r="JU38" s="48" t="n"/>
      <c r="JV38" s="48" t="n"/>
      <c r="JW38" s="48" t="n"/>
      <c r="JX38" s="48" t="n"/>
      <c r="JY38" s="48" t="n"/>
      <c r="JZ38" s="48" t="n"/>
      <c r="KA38" s="48" t="n"/>
      <c r="KB38" s="48" t="n"/>
      <c r="KC38" s="48" t="n"/>
      <c r="KD38" s="48" t="n"/>
      <c r="KE38" s="48" t="n"/>
      <c r="KF38" s="48" t="n"/>
      <c r="KG38" s="48" t="n"/>
      <c r="KH38" s="48" t="n"/>
      <c r="KI38" s="48" t="n"/>
      <c r="KJ38" s="48" t="n"/>
      <c r="KK38" s="48" t="n"/>
      <c r="KL38" s="48" t="n"/>
      <c r="KM38" s="48" t="n"/>
      <c r="KN38" s="48" t="n"/>
      <c r="KO38" s="48" t="n"/>
      <c r="KP38" s="48" t="n"/>
      <c r="KQ38" s="48" t="n"/>
      <c r="KR38" s="48" t="n"/>
      <c r="KS38" s="48" t="n"/>
      <c r="KT38" s="48" t="n"/>
      <c r="KU38" s="48" t="n"/>
      <c r="KV38" s="48" t="n"/>
      <c r="KW38" s="48" t="n"/>
      <c r="KX38" s="48" t="n"/>
      <c r="KY38" s="48" t="n"/>
      <c r="KZ38" s="48" t="n"/>
      <c r="LA38" s="48" t="n"/>
      <c r="LB38" s="48" t="n"/>
      <c r="LC38" s="48" t="n"/>
    </row>
    <row r="39" ht="17" customHeight="1">
      <c r="A39" s="11" t="n">
        <v>31</v>
      </c>
      <c r="B39" s="11" t="inlineStr">
        <is>
          <t>ЮГ-3</t>
        </is>
      </c>
      <c r="C39" s="16">
        <f>'ЮГ-3'!B25</f>
        <v/>
      </c>
      <c r="D39" s="11">
        <f>'ЮГ-3'!C25</f>
        <v/>
      </c>
      <c r="E39" s="11">
        <f>'ЮГ-3'!D25</f>
        <v/>
      </c>
      <c r="F39" s="34">
        <f>'ЮГ-3'!J25</f>
        <v/>
      </c>
      <c r="G39" s="34">
        <f>'ЮГ-3'!G28</f>
        <v/>
      </c>
      <c r="H39" s="34">
        <f>'ЮГ-3'!K25</f>
        <v/>
      </c>
      <c r="I39" s="46">
        <f>'ЮГ-3'!H25</f>
        <v/>
      </c>
      <c r="J39" s="11">
        <f>'ЮГ-3'!L25</f>
        <v/>
      </c>
      <c r="K39" s="11">
        <f>'ЮГ-3'!M25</f>
        <v/>
      </c>
      <c r="L39" s="47">
        <f>'ЮГ-3'!N25</f>
        <v/>
      </c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48" t="n"/>
      <c r="AD39" s="48" t="n"/>
      <c r="AE39" s="48" t="n"/>
      <c r="AF39" s="48" t="n"/>
      <c r="AG39" s="48" t="n"/>
      <c r="AH39" s="48" t="n"/>
      <c r="AI39" s="48" t="n"/>
      <c r="AJ39" s="48" t="n"/>
      <c r="AK39" s="48" t="n"/>
      <c r="AL39" s="48" t="n"/>
      <c r="AM39" s="48" t="n"/>
      <c r="AN39" s="48" t="n"/>
      <c r="AO39" s="48" t="n"/>
      <c r="AP39" s="48" t="n"/>
      <c r="AQ39" s="48" t="n"/>
      <c r="AR39" s="48" t="n"/>
      <c r="AS39" s="48" t="n"/>
      <c r="AT39" s="48" t="n"/>
      <c r="AU39" s="48" t="n"/>
      <c r="AV39" s="48" t="n"/>
      <c r="AW39" s="48" t="n"/>
      <c r="AX39" s="48" t="n"/>
      <c r="AY39" s="48" t="n"/>
      <c r="AZ39" s="48" t="n"/>
      <c r="BA39" s="48" t="n"/>
      <c r="BB39" s="48" t="n"/>
      <c r="BC39" s="48" t="n"/>
      <c r="BD39" s="48" t="n"/>
      <c r="BE39" s="48" t="n"/>
      <c r="BF39" s="48" t="n"/>
      <c r="BG39" s="48" t="n"/>
      <c r="BH39" s="48" t="n"/>
      <c r="BI39" s="48" t="n"/>
      <c r="BJ39" s="48" t="n"/>
      <c r="BK39" s="48" t="n"/>
      <c r="BL39" s="48" t="n"/>
      <c r="BM39" s="48" t="n"/>
      <c r="BN39" s="48" t="n"/>
      <c r="BO39" s="48" t="n"/>
      <c r="BP39" s="48" t="n"/>
      <c r="BQ39" s="48" t="n"/>
      <c r="BR39" s="48" t="n"/>
      <c r="BS39" s="48" t="n"/>
      <c r="BT39" s="48" t="n"/>
      <c r="BU39" s="48" t="n"/>
      <c r="BV39" s="48" t="n"/>
      <c r="BW39" s="48" t="n"/>
      <c r="BX39" s="48" t="n"/>
      <c r="BY39" s="48" t="n"/>
      <c r="BZ39" s="48" t="n"/>
      <c r="CA39" s="48" t="n"/>
      <c r="CB39" s="48" t="n"/>
      <c r="CC39" s="48" t="n"/>
      <c r="CD39" s="48" t="n"/>
      <c r="CE39" s="48" t="n"/>
      <c r="CF39" s="48" t="n"/>
      <c r="CG39" s="48" t="n"/>
      <c r="CH39" s="48" t="n"/>
      <c r="CI39" s="48" t="n"/>
      <c r="CJ39" s="48" t="n"/>
      <c r="CK39" s="48" t="n"/>
      <c r="CL39" s="48" t="n"/>
      <c r="CM39" s="48" t="n"/>
      <c r="CN39" s="48" t="n"/>
      <c r="CO39" s="48" t="n"/>
      <c r="CP39" s="48" t="n"/>
      <c r="CQ39" s="48" t="n"/>
      <c r="CR39" s="48" t="n"/>
      <c r="CS39" s="48" t="n"/>
      <c r="CT39" s="48" t="n"/>
      <c r="CU39" s="48" t="n"/>
      <c r="CV39" s="48" t="n"/>
      <c r="CW39" s="48" t="n"/>
      <c r="CX39" s="48" t="n"/>
      <c r="CY39" s="48" t="n"/>
      <c r="CZ39" s="48" t="n"/>
      <c r="DA39" s="48" t="n"/>
      <c r="DB39" s="48" t="n"/>
      <c r="DC39" s="48" t="n"/>
      <c r="DD39" s="48" t="n"/>
      <c r="DE39" s="48" t="n"/>
      <c r="DF39" s="48" t="n"/>
      <c r="DG39" s="48" t="n"/>
      <c r="DH39" s="48" t="n"/>
      <c r="DI39" s="48" t="n"/>
      <c r="DJ39" s="48" t="n"/>
      <c r="DK39" s="48" t="n"/>
      <c r="DL39" s="48" t="n"/>
      <c r="DM39" s="48" t="n"/>
      <c r="DN39" s="48" t="n"/>
      <c r="DO39" s="48" t="n"/>
      <c r="DP39" s="48" t="n"/>
      <c r="DQ39" s="48" t="n"/>
      <c r="DR39" s="48" t="n"/>
      <c r="DS39" s="48" t="n"/>
      <c r="DT39" s="48" t="n"/>
      <c r="DU39" s="48" t="n"/>
      <c r="DV39" s="48" t="n"/>
      <c r="DW39" s="48" t="n"/>
      <c r="DX39" s="48" t="n"/>
      <c r="DY39" s="48" t="n"/>
      <c r="DZ39" s="48" t="n"/>
      <c r="EA39" s="48" t="n"/>
      <c r="EB39" s="48" t="n"/>
      <c r="EC39" s="48" t="n"/>
      <c r="ED39" s="48" t="n"/>
      <c r="EE39" s="48" t="n"/>
      <c r="EF39" s="48" t="n"/>
      <c r="EG39" s="48" t="n"/>
      <c r="EH39" s="48" t="n"/>
      <c r="EI39" s="48" t="n"/>
      <c r="EJ39" s="48" t="n"/>
      <c r="EK39" s="48" t="n"/>
      <c r="EL39" s="48" t="n"/>
      <c r="EM39" s="48" t="n"/>
      <c r="EN39" s="48" t="n"/>
      <c r="EO39" s="48" t="n"/>
      <c r="EP39" s="48" t="n"/>
      <c r="EQ39" s="48" t="n"/>
      <c r="ER39" s="48" t="n"/>
      <c r="ES39" s="48" t="n"/>
      <c r="ET39" s="48" t="n"/>
      <c r="EU39" s="48" t="n"/>
      <c r="EV39" s="48" t="n"/>
      <c r="EW39" s="48" t="n"/>
      <c r="EX39" s="48" t="n"/>
      <c r="EY39" s="48" t="n"/>
      <c r="EZ39" s="48" t="n"/>
      <c r="FA39" s="48" t="n"/>
      <c r="FB39" s="48" t="n"/>
      <c r="FC39" s="48" t="n"/>
      <c r="FD39" s="48" t="n"/>
      <c r="FE39" s="48" t="n"/>
      <c r="FF39" s="48" t="n"/>
      <c r="FG39" s="48" t="n"/>
      <c r="FH39" s="48" t="n"/>
      <c r="FI39" s="48" t="n"/>
      <c r="FJ39" s="48" t="n"/>
      <c r="FK39" s="48" t="n"/>
      <c r="FL39" s="48" t="n"/>
      <c r="FM39" s="48" t="n"/>
      <c r="FN39" s="48" t="n"/>
      <c r="FO39" s="48" t="n"/>
      <c r="FP39" s="48" t="n"/>
      <c r="FQ39" s="48" t="n"/>
      <c r="FR39" s="48" t="n"/>
      <c r="FS39" s="48" t="n"/>
      <c r="FT39" s="48" t="n"/>
      <c r="FU39" s="48" t="n"/>
      <c r="FV39" s="48" t="n"/>
      <c r="FW39" s="48" t="n"/>
      <c r="FX39" s="48" t="n"/>
      <c r="FY39" s="48" t="n"/>
      <c r="FZ39" s="48" t="n"/>
      <c r="GA39" s="48" t="n"/>
      <c r="GB39" s="48" t="n"/>
      <c r="GC39" s="48" t="n"/>
      <c r="GD39" s="48" t="n"/>
      <c r="GE39" s="48" t="n"/>
      <c r="GF39" s="48" t="n"/>
      <c r="GG39" s="48" t="n"/>
      <c r="GH39" s="48" t="n"/>
      <c r="GI39" s="48" t="n"/>
      <c r="GJ39" s="48" t="n"/>
      <c r="GK39" s="48" t="n"/>
      <c r="GL39" s="48" t="n"/>
      <c r="GM39" s="48" t="n"/>
      <c r="GN39" s="48" t="n"/>
      <c r="GO39" s="48" t="n"/>
      <c r="GP39" s="48" t="n"/>
      <c r="GQ39" s="48" t="n"/>
      <c r="GR39" s="48" t="n"/>
      <c r="GS39" s="48" t="n"/>
      <c r="GT39" s="48" t="n"/>
      <c r="GU39" s="48" t="n"/>
      <c r="GV39" s="48" t="n"/>
      <c r="GW39" s="48" t="n"/>
      <c r="GX39" s="48" t="n"/>
      <c r="GY39" s="48" t="n"/>
      <c r="GZ39" s="48" t="n"/>
      <c r="HA39" s="48" t="n"/>
      <c r="HB39" s="48" t="n"/>
      <c r="HC39" s="48" t="n"/>
      <c r="HD39" s="48" t="n"/>
      <c r="HE39" s="48" t="n"/>
      <c r="HF39" s="48" t="n"/>
      <c r="HG39" s="48" t="n"/>
      <c r="HH39" s="48" t="n"/>
      <c r="HI39" s="48" t="n"/>
      <c r="HJ39" s="48" t="n"/>
      <c r="HK39" s="48" t="n"/>
      <c r="HL39" s="48" t="n"/>
      <c r="HM39" s="48" t="n"/>
      <c r="HN39" s="48" t="n"/>
      <c r="HO39" s="48" t="n"/>
      <c r="HP39" s="48" t="n"/>
      <c r="HQ39" s="48" t="n"/>
      <c r="HR39" s="48" t="n"/>
      <c r="HS39" s="48" t="n"/>
      <c r="HT39" s="48" t="n"/>
      <c r="HU39" s="48" t="n"/>
      <c r="HV39" s="48" t="n"/>
      <c r="HW39" s="48" t="n"/>
      <c r="HX39" s="48" t="n"/>
      <c r="HY39" s="48" t="n"/>
      <c r="HZ39" s="48" t="n"/>
      <c r="IA39" s="48" t="n"/>
      <c r="IB39" s="48" t="n"/>
      <c r="IC39" s="48" t="n"/>
      <c r="ID39" s="48" t="n"/>
      <c r="IE39" s="48" t="n"/>
      <c r="IF39" s="48" t="n"/>
      <c r="IG39" s="48" t="n"/>
      <c r="IH39" s="48" t="n"/>
      <c r="II39" s="48" t="n"/>
      <c r="IJ39" s="48" t="n"/>
      <c r="IK39" s="48" t="n"/>
      <c r="IL39" s="48" t="n"/>
      <c r="IM39" s="48" t="n"/>
      <c r="IN39" s="48" t="n"/>
      <c r="IO39" s="48" t="n"/>
      <c r="IP39" s="48" t="n"/>
      <c r="IQ39" s="48" t="n"/>
      <c r="IR39" s="48" t="n"/>
      <c r="IS39" s="48" t="n"/>
      <c r="IT39" s="48" t="n"/>
      <c r="IU39" s="48" t="n"/>
      <c r="IV39" s="48" t="n"/>
      <c r="IW39" s="48" t="n"/>
      <c r="IX39" s="48" t="n"/>
      <c r="IY39" s="48" t="n"/>
      <c r="IZ39" s="48" t="n"/>
      <c r="JA39" s="48" t="n"/>
      <c r="JB39" s="48" t="n"/>
      <c r="JC39" s="48" t="n"/>
      <c r="JD39" s="48" t="n"/>
      <c r="JE39" s="48" t="n"/>
      <c r="JF39" s="48" t="n"/>
      <c r="JG39" s="48" t="n"/>
      <c r="JH39" s="48" t="n"/>
      <c r="JI39" s="48" t="n"/>
      <c r="JJ39" s="48" t="n"/>
      <c r="JK39" s="48" t="n"/>
      <c r="JL39" s="48" t="n"/>
      <c r="JM39" s="48" t="n"/>
      <c r="JN39" s="48" t="n"/>
      <c r="JO39" s="48" t="n"/>
      <c r="JP39" s="48" t="n"/>
      <c r="JQ39" s="48" t="n"/>
      <c r="JR39" s="48" t="n"/>
      <c r="JS39" s="48" t="n"/>
      <c r="JT39" s="48" t="n"/>
      <c r="JU39" s="48" t="n"/>
      <c r="JV39" s="48" t="n"/>
      <c r="JW39" s="48" t="n"/>
      <c r="JX39" s="48" t="n"/>
      <c r="JY39" s="48" t="n"/>
      <c r="JZ39" s="48" t="n"/>
      <c r="KA39" s="48" t="n"/>
      <c r="KB39" s="48" t="n"/>
      <c r="KC39" s="48" t="n"/>
      <c r="KD39" s="48" t="n"/>
      <c r="KE39" s="48" t="n"/>
      <c r="KF39" s="48" t="n"/>
      <c r="KG39" s="48" t="n"/>
      <c r="KH39" s="48" t="n"/>
      <c r="KI39" s="48" t="n"/>
      <c r="KJ39" s="48" t="n"/>
      <c r="KK39" s="48" t="n"/>
      <c r="KL39" s="48" t="n"/>
      <c r="KM39" s="48" t="n"/>
      <c r="KN39" s="48" t="n"/>
      <c r="KO39" s="48" t="n"/>
      <c r="KP39" s="48" t="n"/>
      <c r="KQ39" s="48" t="n"/>
      <c r="KR39" s="48" t="n"/>
      <c r="KS39" s="48" t="n"/>
      <c r="KT39" s="48" t="n"/>
      <c r="KU39" s="48" t="n"/>
      <c r="KV39" s="48" t="n"/>
      <c r="KW39" s="48" t="n"/>
      <c r="KX39" s="48" t="n"/>
      <c r="KY39" s="48" t="n"/>
      <c r="KZ39" s="48" t="n"/>
      <c r="LA39" s="48" t="n"/>
      <c r="LB39" s="48" t="n"/>
      <c r="LC39" s="48" t="n"/>
    </row>
    <row r="40" ht="17" customHeight="1">
      <c r="A40" s="11" t="n">
        <v>32</v>
      </c>
      <c r="B40" s="11" t="inlineStr">
        <is>
          <t>ЮГ-3</t>
        </is>
      </c>
      <c r="C40" s="16">
        <f>'ЮГ-3'!B35</f>
        <v/>
      </c>
      <c r="D40" s="11">
        <f>'ЮГ-3'!C35</f>
        <v/>
      </c>
      <c r="E40" s="11">
        <f>'ЮГ-3'!D35</f>
        <v/>
      </c>
      <c r="F40" s="34">
        <f>'ЮГ-3'!J35</f>
        <v/>
      </c>
      <c r="G40" s="34">
        <f>'ЮГ-3'!G38</f>
        <v/>
      </c>
      <c r="H40" s="34">
        <f>'ЮГ-3'!K35</f>
        <v/>
      </c>
      <c r="I40" s="46">
        <f>'ЮГ-3'!H35</f>
        <v/>
      </c>
      <c r="J40" s="11">
        <f>'ЮГ-3'!L35</f>
        <v/>
      </c>
      <c r="K40" s="11">
        <f>'ЮГ-3'!M35</f>
        <v/>
      </c>
      <c r="L40" s="47">
        <f>'ЮГ-3'!N35</f>
        <v/>
      </c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  <c r="AA40" s="48" t="n"/>
      <c r="AB40" s="48" t="n"/>
      <c r="AC40" s="48" t="n"/>
      <c r="AD40" s="48" t="n"/>
      <c r="AE40" s="48" t="n"/>
      <c r="AF40" s="48" t="n"/>
      <c r="AG40" s="48" t="n"/>
      <c r="AH40" s="48" t="n"/>
      <c r="AI40" s="48" t="n"/>
      <c r="AJ40" s="48" t="n"/>
      <c r="AK40" s="48" t="n"/>
      <c r="AL40" s="48" t="n"/>
      <c r="AM40" s="48" t="n"/>
      <c r="AN40" s="48" t="n"/>
      <c r="AO40" s="48" t="n"/>
      <c r="AP40" s="48" t="n"/>
      <c r="AQ40" s="48" t="n"/>
      <c r="AR40" s="48" t="n"/>
      <c r="AS40" s="48" t="n"/>
      <c r="AT40" s="48" t="n"/>
      <c r="AU40" s="48" t="n"/>
      <c r="AV40" s="48" t="n"/>
      <c r="AW40" s="48" t="n"/>
      <c r="AX40" s="48" t="n"/>
      <c r="AY40" s="48" t="n"/>
      <c r="AZ40" s="48" t="n"/>
      <c r="BA40" s="48" t="n"/>
      <c r="BB40" s="48" t="n"/>
      <c r="BC40" s="48" t="n"/>
      <c r="BD40" s="48" t="n"/>
      <c r="BE40" s="48" t="n"/>
      <c r="BF40" s="48" t="n"/>
      <c r="BG40" s="48" t="n"/>
      <c r="BH40" s="48" t="n"/>
      <c r="BI40" s="48" t="n"/>
      <c r="BJ40" s="48" t="n"/>
      <c r="BK40" s="48" t="n"/>
      <c r="BL40" s="48" t="n"/>
      <c r="BM40" s="48" t="n"/>
      <c r="BN40" s="48" t="n"/>
      <c r="BO40" s="48" t="n"/>
      <c r="BP40" s="48" t="n"/>
      <c r="BQ40" s="48" t="n"/>
      <c r="BR40" s="48" t="n"/>
      <c r="BS40" s="48" t="n"/>
      <c r="BT40" s="48" t="n"/>
      <c r="BU40" s="48" t="n"/>
      <c r="BV40" s="48" t="n"/>
      <c r="BW40" s="48" t="n"/>
      <c r="BX40" s="48" t="n"/>
      <c r="BY40" s="48" t="n"/>
      <c r="BZ40" s="48" t="n"/>
      <c r="CA40" s="48" t="n"/>
      <c r="CB40" s="48" t="n"/>
      <c r="CC40" s="48" t="n"/>
      <c r="CD40" s="48" t="n"/>
      <c r="CE40" s="48" t="n"/>
      <c r="CF40" s="48" t="n"/>
      <c r="CG40" s="48" t="n"/>
      <c r="CH40" s="48" t="n"/>
      <c r="CI40" s="48" t="n"/>
      <c r="CJ40" s="48" t="n"/>
      <c r="CK40" s="48" t="n"/>
      <c r="CL40" s="48" t="n"/>
      <c r="CM40" s="48" t="n"/>
      <c r="CN40" s="48" t="n"/>
      <c r="CO40" s="48" t="n"/>
      <c r="CP40" s="48" t="n"/>
      <c r="CQ40" s="48" t="n"/>
      <c r="CR40" s="48" t="n"/>
      <c r="CS40" s="48" t="n"/>
      <c r="CT40" s="48" t="n"/>
      <c r="CU40" s="48" t="n"/>
      <c r="CV40" s="48" t="n"/>
      <c r="CW40" s="48" t="n"/>
      <c r="CX40" s="48" t="n"/>
      <c r="CY40" s="48" t="n"/>
      <c r="CZ40" s="48" t="n"/>
      <c r="DA40" s="48" t="n"/>
      <c r="DB40" s="48" t="n"/>
      <c r="DC40" s="48" t="n"/>
      <c r="DD40" s="48" t="n"/>
      <c r="DE40" s="48" t="n"/>
      <c r="DF40" s="48" t="n"/>
      <c r="DG40" s="48" t="n"/>
      <c r="DH40" s="48" t="n"/>
      <c r="DI40" s="48" t="n"/>
      <c r="DJ40" s="48" t="n"/>
      <c r="DK40" s="48" t="n"/>
      <c r="DL40" s="48" t="n"/>
      <c r="DM40" s="48" t="n"/>
      <c r="DN40" s="48" t="n"/>
      <c r="DO40" s="48" t="n"/>
      <c r="DP40" s="48" t="n"/>
      <c r="DQ40" s="48" t="n"/>
      <c r="DR40" s="48" t="n"/>
      <c r="DS40" s="48" t="n"/>
      <c r="DT40" s="48" t="n"/>
      <c r="DU40" s="48" t="n"/>
      <c r="DV40" s="48" t="n"/>
      <c r="DW40" s="48" t="n"/>
      <c r="DX40" s="48" t="n"/>
      <c r="DY40" s="48" t="n"/>
      <c r="DZ40" s="48" t="n"/>
      <c r="EA40" s="48" t="n"/>
      <c r="EB40" s="48" t="n"/>
      <c r="EC40" s="48" t="n"/>
      <c r="ED40" s="48" t="n"/>
      <c r="EE40" s="48" t="n"/>
      <c r="EF40" s="48" t="n"/>
      <c r="EG40" s="48" t="n"/>
      <c r="EH40" s="48" t="n"/>
      <c r="EI40" s="48" t="n"/>
      <c r="EJ40" s="48" t="n"/>
      <c r="EK40" s="48" t="n"/>
      <c r="EL40" s="48" t="n"/>
      <c r="EM40" s="48" t="n"/>
      <c r="EN40" s="48" t="n"/>
      <c r="EO40" s="48" t="n"/>
      <c r="EP40" s="48" t="n"/>
      <c r="EQ40" s="48" t="n"/>
      <c r="ER40" s="48" t="n"/>
      <c r="ES40" s="48" t="n"/>
      <c r="ET40" s="48" t="n"/>
      <c r="EU40" s="48" t="n"/>
      <c r="EV40" s="48" t="n"/>
      <c r="EW40" s="48" t="n"/>
      <c r="EX40" s="48" t="n"/>
      <c r="EY40" s="48" t="n"/>
      <c r="EZ40" s="48" t="n"/>
      <c r="FA40" s="48" t="n"/>
      <c r="FB40" s="48" t="n"/>
      <c r="FC40" s="48" t="n"/>
      <c r="FD40" s="48" t="n"/>
      <c r="FE40" s="48" t="n"/>
      <c r="FF40" s="48" t="n"/>
      <c r="FG40" s="48" t="n"/>
      <c r="FH40" s="48" t="n"/>
      <c r="FI40" s="48" t="n"/>
      <c r="FJ40" s="48" t="n"/>
      <c r="FK40" s="48" t="n"/>
      <c r="FL40" s="48" t="n"/>
      <c r="FM40" s="48" t="n"/>
      <c r="FN40" s="48" t="n"/>
      <c r="FO40" s="48" t="n"/>
      <c r="FP40" s="48" t="n"/>
      <c r="FQ40" s="48" t="n"/>
      <c r="FR40" s="48" t="n"/>
      <c r="FS40" s="48" t="n"/>
      <c r="FT40" s="48" t="n"/>
      <c r="FU40" s="48" t="n"/>
      <c r="FV40" s="48" t="n"/>
      <c r="FW40" s="48" t="n"/>
      <c r="FX40" s="48" t="n"/>
      <c r="FY40" s="48" t="n"/>
      <c r="FZ40" s="48" t="n"/>
      <c r="GA40" s="48" t="n"/>
      <c r="GB40" s="48" t="n"/>
      <c r="GC40" s="48" t="n"/>
      <c r="GD40" s="48" t="n"/>
      <c r="GE40" s="48" t="n"/>
      <c r="GF40" s="48" t="n"/>
      <c r="GG40" s="48" t="n"/>
      <c r="GH40" s="48" t="n"/>
      <c r="GI40" s="48" t="n"/>
      <c r="GJ40" s="48" t="n"/>
      <c r="GK40" s="48" t="n"/>
      <c r="GL40" s="48" t="n"/>
      <c r="GM40" s="48" t="n"/>
      <c r="GN40" s="48" t="n"/>
      <c r="GO40" s="48" t="n"/>
      <c r="GP40" s="48" t="n"/>
      <c r="GQ40" s="48" t="n"/>
      <c r="GR40" s="48" t="n"/>
      <c r="GS40" s="48" t="n"/>
      <c r="GT40" s="48" t="n"/>
      <c r="GU40" s="48" t="n"/>
      <c r="GV40" s="48" t="n"/>
      <c r="GW40" s="48" t="n"/>
      <c r="GX40" s="48" t="n"/>
      <c r="GY40" s="48" t="n"/>
      <c r="GZ40" s="48" t="n"/>
      <c r="HA40" s="48" t="n"/>
      <c r="HB40" s="48" t="n"/>
      <c r="HC40" s="48" t="n"/>
      <c r="HD40" s="48" t="n"/>
      <c r="HE40" s="48" t="n"/>
      <c r="HF40" s="48" t="n"/>
      <c r="HG40" s="48" t="n"/>
      <c r="HH40" s="48" t="n"/>
      <c r="HI40" s="48" t="n"/>
      <c r="HJ40" s="48" t="n"/>
      <c r="HK40" s="48" t="n"/>
      <c r="HL40" s="48" t="n"/>
      <c r="HM40" s="48" t="n"/>
      <c r="HN40" s="48" t="n"/>
      <c r="HO40" s="48" t="n"/>
      <c r="HP40" s="48" t="n"/>
      <c r="HQ40" s="48" t="n"/>
      <c r="HR40" s="48" t="n"/>
      <c r="HS40" s="48" t="n"/>
      <c r="HT40" s="48" t="n"/>
      <c r="HU40" s="48" t="n"/>
      <c r="HV40" s="48" t="n"/>
      <c r="HW40" s="48" t="n"/>
      <c r="HX40" s="48" t="n"/>
      <c r="HY40" s="48" t="n"/>
      <c r="HZ40" s="48" t="n"/>
      <c r="IA40" s="48" t="n"/>
      <c r="IB40" s="48" t="n"/>
      <c r="IC40" s="48" t="n"/>
      <c r="ID40" s="48" t="n"/>
      <c r="IE40" s="48" t="n"/>
      <c r="IF40" s="48" t="n"/>
      <c r="IG40" s="48" t="n"/>
      <c r="IH40" s="48" t="n"/>
      <c r="II40" s="48" t="n"/>
      <c r="IJ40" s="48" t="n"/>
      <c r="IK40" s="48" t="n"/>
      <c r="IL40" s="48" t="n"/>
      <c r="IM40" s="48" t="n"/>
      <c r="IN40" s="48" t="n"/>
      <c r="IO40" s="48" t="n"/>
      <c r="IP40" s="48" t="n"/>
      <c r="IQ40" s="48" t="n"/>
      <c r="IR40" s="48" t="n"/>
      <c r="IS40" s="48" t="n"/>
      <c r="IT40" s="48" t="n"/>
      <c r="IU40" s="48" t="n"/>
      <c r="IV40" s="48" t="n"/>
      <c r="IW40" s="48" t="n"/>
      <c r="IX40" s="48" t="n"/>
      <c r="IY40" s="48" t="n"/>
      <c r="IZ40" s="48" t="n"/>
      <c r="JA40" s="48" t="n"/>
      <c r="JB40" s="48" t="n"/>
      <c r="JC40" s="48" t="n"/>
      <c r="JD40" s="48" t="n"/>
      <c r="JE40" s="48" t="n"/>
      <c r="JF40" s="48" t="n"/>
      <c r="JG40" s="48" t="n"/>
      <c r="JH40" s="48" t="n"/>
      <c r="JI40" s="48" t="n"/>
      <c r="JJ40" s="48" t="n"/>
      <c r="JK40" s="48" t="n"/>
      <c r="JL40" s="48" t="n"/>
      <c r="JM40" s="48" t="n"/>
      <c r="JN40" s="48" t="n"/>
      <c r="JO40" s="48" t="n"/>
      <c r="JP40" s="48" t="n"/>
      <c r="JQ40" s="48" t="n"/>
      <c r="JR40" s="48" t="n"/>
      <c r="JS40" s="48" t="n"/>
      <c r="JT40" s="48" t="n"/>
      <c r="JU40" s="48" t="n"/>
      <c r="JV40" s="48" t="n"/>
      <c r="JW40" s="48" t="n"/>
      <c r="JX40" s="48" t="n"/>
      <c r="JY40" s="48" t="n"/>
      <c r="JZ40" s="48" t="n"/>
      <c r="KA40" s="48" t="n"/>
      <c r="KB40" s="48" t="n"/>
      <c r="KC40" s="48" t="n"/>
      <c r="KD40" s="48" t="n"/>
      <c r="KE40" s="48" t="n"/>
      <c r="KF40" s="48" t="n"/>
      <c r="KG40" s="48" t="n"/>
      <c r="KH40" s="48" t="n"/>
      <c r="KI40" s="48" t="n"/>
      <c r="KJ40" s="48" t="n"/>
      <c r="KK40" s="48" t="n"/>
      <c r="KL40" s="48" t="n"/>
      <c r="KM40" s="48" t="n"/>
      <c r="KN40" s="48" t="n"/>
      <c r="KO40" s="48" t="n"/>
      <c r="KP40" s="48" t="n"/>
      <c r="KQ40" s="48" t="n"/>
      <c r="KR40" s="48" t="n"/>
      <c r="KS40" s="48" t="n"/>
      <c r="KT40" s="48" t="n"/>
      <c r="KU40" s="48" t="n"/>
      <c r="KV40" s="48" t="n"/>
      <c r="KW40" s="48" t="n"/>
      <c r="KX40" s="48" t="n"/>
      <c r="KY40" s="48" t="n"/>
      <c r="KZ40" s="48" t="n"/>
      <c r="LA40" s="48" t="n"/>
      <c r="LB40" s="48" t="n"/>
      <c r="LC40" s="48" t="n"/>
    </row>
    <row r="41" ht="17" customHeight="1">
      <c r="A41" s="11" t="n">
        <v>33</v>
      </c>
      <c r="B41" s="11" t="inlineStr">
        <is>
          <t>ЮГ-3</t>
        </is>
      </c>
      <c r="C41" s="16">
        <f>'ЮГ-3'!B45</f>
        <v/>
      </c>
      <c r="D41" s="11">
        <f>'ЮГ-3'!C45</f>
        <v/>
      </c>
      <c r="E41" s="11">
        <f>'ЮГ-3'!D45</f>
        <v/>
      </c>
      <c r="F41" s="34">
        <f>'ЮГ-3'!J45</f>
        <v/>
      </c>
      <c r="G41" s="34">
        <f>'ЮГ-3'!G48</f>
        <v/>
      </c>
      <c r="H41" s="34">
        <f>'ЮГ-3'!K45</f>
        <v/>
      </c>
      <c r="I41" s="46">
        <f>'ЮГ-3'!H45</f>
        <v/>
      </c>
      <c r="J41" s="11">
        <f>'ЮГ-3'!L45</f>
        <v/>
      </c>
      <c r="K41" s="11">
        <f>'ЮГ-3'!M45</f>
        <v/>
      </c>
      <c r="L41" s="47">
        <f>'ЮГ-3'!N45</f>
        <v/>
      </c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8" t="n"/>
      <c r="AB41" s="48" t="n"/>
      <c r="AC41" s="48" t="n"/>
      <c r="AD41" s="48" t="n"/>
      <c r="AE41" s="48" t="n"/>
      <c r="AF41" s="48" t="n"/>
      <c r="AG41" s="48" t="n"/>
      <c r="AH41" s="48" t="n"/>
      <c r="AI41" s="48" t="n"/>
      <c r="AJ41" s="48" t="n"/>
      <c r="AK41" s="48" t="n"/>
      <c r="AL41" s="48" t="n"/>
      <c r="AM41" s="48" t="n"/>
      <c r="AN41" s="48" t="n"/>
      <c r="AO41" s="48" t="n"/>
      <c r="AP41" s="48" t="n"/>
      <c r="AQ41" s="48" t="n"/>
      <c r="AR41" s="48" t="n"/>
      <c r="AS41" s="48" t="n"/>
      <c r="AT41" s="48" t="n"/>
      <c r="AU41" s="48" t="n"/>
      <c r="AV41" s="48" t="n"/>
      <c r="AW41" s="48" t="n"/>
      <c r="AX41" s="48" t="n"/>
      <c r="AY41" s="48" t="n"/>
      <c r="AZ41" s="48" t="n"/>
      <c r="BA41" s="48" t="n"/>
      <c r="BB41" s="48" t="n"/>
      <c r="BC41" s="48" t="n"/>
      <c r="BD41" s="48" t="n"/>
      <c r="BE41" s="48" t="n"/>
      <c r="BF41" s="48" t="n"/>
      <c r="BG41" s="48" t="n"/>
      <c r="BH41" s="48" t="n"/>
      <c r="BI41" s="48" t="n"/>
      <c r="BJ41" s="48" t="n"/>
      <c r="BK41" s="48" t="n"/>
      <c r="BL41" s="48" t="n"/>
      <c r="BM41" s="48" t="n"/>
      <c r="BN41" s="48" t="n"/>
      <c r="BO41" s="48" t="n"/>
      <c r="BP41" s="48" t="n"/>
      <c r="BQ41" s="48" t="n"/>
      <c r="BR41" s="48" t="n"/>
      <c r="BS41" s="48" t="n"/>
      <c r="BT41" s="48" t="n"/>
      <c r="BU41" s="48" t="n"/>
      <c r="BV41" s="48" t="n"/>
      <c r="BW41" s="48" t="n"/>
      <c r="BX41" s="48" t="n"/>
      <c r="BY41" s="48" t="n"/>
      <c r="BZ41" s="48" t="n"/>
      <c r="CA41" s="48" t="n"/>
      <c r="CB41" s="48" t="n"/>
      <c r="CC41" s="48" t="n"/>
      <c r="CD41" s="48" t="n"/>
      <c r="CE41" s="48" t="n"/>
      <c r="CF41" s="48" t="n"/>
      <c r="CG41" s="48" t="n"/>
      <c r="CH41" s="48" t="n"/>
      <c r="CI41" s="48" t="n"/>
      <c r="CJ41" s="48" t="n"/>
      <c r="CK41" s="48" t="n"/>
      <c r="CL41" s="48" t="n"/>
      <c r="CM41" s="48" t="n"/>
      <c r="CN41" s="48" t="n"/>
      <c r="CO41" s="48" t="n"/>
      <c r="CP41" s="48" t="n"/>
      <c r="CQ41" s="48" t="n"/>
      <c r="CR41" s="48" t="n"/>
      <c r="CS41" s="48" t="n"/>
      <c r="CT41" s="48" t="n"/>
      <c r="CU41" s="48" t="n"/>
      <c r="CV41" s="48" t="n"/>
      <c r="CW41" s="48" t="n"/>
      <c r="CX41" s="48" t="n"/>
      <c r="CY41" s="48" t="n"/>
      <c r="CZ41" s="48" t="n"/>
      <c r="DA41" s="48" t="n"/>
      <c r="DB41" s="48" t="n"/>
      <c r="DC41" s="48" t="n"/>
      <c r="DD41" s="48" t="n"/>
      <c r="DE41" s="48" t="n"/>
      <c r="DF41" s="48" t="n"/>
      <c r="DG41" s="48" t="n"/>
      <c r="DH41" s="48" t="n"/>
      <c r="DI41" s="48" t="n"/>
      <c r="DJ41" s="48" t="n"/>
      <c r="DK41" s="48" t="n"/>
      <c r="DL41" s="48" t="n"/>
      <c r="DM41" s="48" t="n"/>
      <c r="DN41" s="48" t="n"/>
      <c r="DO41" s="48" t="n"/>
      <c r="DP41" s="48" t="n"/>
      <c r="DQ41" s="48" t="n"/>
      <c r="DR41" s="48" t="n"/>
      <c r="DS41" s="48" t="n"/>
      <c r="DT41" s="48" t="n"/>
      <c r="DU41" s="48" t="n"/>
      <c r="DV41" s="48" t="n"/>
      <c r="DW41" s="48" t="n"/>
      <c r="DX41" s="48" t="n"/>
      <c r="DY41" s="48" t="n"/>
      <c r="DZ41" s="48" t="n"/>
      <c r="EA41" s="48" t="n"/>
      <c r="EB41" s="48" t="n"/>
      <c r="EC41" s="48" t="n"/>
      <c r="ED41" s="48" t="n"/>
      <c r="EE41" s="48" t="n"/>
      <c r="EF41" s="48" t="n"/>
      <c r="EG41" s="48" t="n"/>
      <c r="EH41" s="48" t="n"/>
      <c r="EI41" s="48" t="n"/>
      <c r="EJ41" s="48" t="n"/>
      <c r="EK41" s="48" t="n"/>
      <c r="EL41" s="48" t="n"/>
      <c r="EM41" s="48" t="n"/>
      <c r="EN41" s="48" t="n"/>
      <c r="EO41" s="48" t="n"/>
      <c r="EP41" s="48" t="n"/>
      <c r="EQ41" s="48" t="n"/>
      <c r="ER41" s="48" t="n"/>
      <c r="ES41" s="48" t="n"/>
      <c r="ET41" s="48" t="n"/>
      <c r="EU41" s="48" t="n"/>
      <c r="EV41" s="48" t="n"/>
      <c r="EW41" s="48" t="n"/>
      <c r="EX41" s="48" t="n"/>
      <c r="EY41" s="48" t="n"/>
      <c r="EZ41" s="48" t="n"/>
      <c r="FA41" s="48" t="n"/>
      <c r="FB41" s="48" t="n"/>
      <c r="FC41" s="48" t="n"/>
      <c r="FD41" s="48" t="n"/>
      <c r="FE41" s="48" t="n"/>
      <c r="FF41" s="48" t="n"/>
      <c r="FG41" s="48" t="n"/>
      <c r="FH41" s="48" t="n"/>
      <c r="FI41" s="48" t="n"/>
      <c r="FJ41" s="48" t="n"/>
      <c r="FK41" s="48" t="n"/>
      <c r="FL41" s="48" t="n"/>
      <c r="FM41" s="48" t="n"/>
      <c r="FN41" s="48" t="n"/>
      <c r="FO41" s="48" t="n"/>
      <c r="FP41" s="48" t="n"/>
      <c r="FQ41" s="48" t="n"/>
      <c r="FR41" s="48" t="n"/>
      <c r="FS41" s="48" t="n"/>
      <c r="FT41" s="48" t="n"/>
      <c r="FU41" s="48" t="n"/>
      <c r="FV41" s="48" t="n"/>
      <c r="FW41" s="48" t="n"/>
      <c r="FX41" s="48" t="n"/>
      <c r="FY41" s="48" t="n"/>
      <c r="FZ41" s="48" t="n"/>
      <c r="GA41" s="48" t="n"/>
      <c r="GB41" s="48" t="n"/>
      <c r="GC41" s="48" t="n"/>
      <c r="GD41" s="48" t="n"/>
      <c r="GE41" s="48" t="n"/>
      <c r="GF41" s="48" t="n"/>
      <c r="GG41" s="48" t="n"/>
      <c r="GH41" s="48" t="n"/>
      <c r="GI41" s="48" t="n"/>
      <c r="GJ41" s="48" t="n"/>
      <c r="GK41" s="48" t="n"/>
      <c r="GL41" s="48" t="n"/>
      <c r="GM41" s="48" t="n"/>
      <c r="GN41" s="48" t="n"/>
      <c r="GO41" s="48" t="n"/>
      <c r="GP41" s="48" t="n"/>
      <c r="GQ41" s="48" t="n"/>
      <c r="GR41" s="48" t="n"/>
      <c r="GS41" s="48" t="n"/>
      <c r="GT41" s="48" t="n"/>
      <c r="GU41" s="48" t="n"/>
      <c r="GV41" s="48" t="n"/>
      <c r="GW41" s="48" t="n"/>
      <c r="GX41" s="48" t="n"/>
      <c r="GY41" s="48" t="n"/>
      <c r="GZ41" s="48" t="n"/>
      <c r="HA41" s="48" t="n"/>
      <c r="HB41" s="48" t="n"/>
      <c r="HC41" s="48" t="n"/>
      <c r="HD41" s="48" t="n"/>
      <c r="HE41" s="48" t="n"/>
      <c r="HF41" s="48" t="n"/>
      <c r="HG41" s="48" t="n"/>
      <c r="HH41" s="48" t="n"/>
      <c r="HI41" s="48" t="n"/>
      <c r="HJ41" s="48" t="n"/>
      <c r="HK41" s="48" t="n"/>
      <c r="HL41" s="48" t="n"/>
      <c r="HM41" s="48" t="n"/>
      <c r="HN41" s="48" t="n"/>
      <c r="HO41" s="48" t="n"/>
      <c r="HP41" s="48" t="n"/>
      <c r="HQ41" s="48" t="n"/>
      <c r="HR41" s="48" t="n"/>
      <c r="HS41" s="48" t="n"/>
      <c r="HT41" s="48" t="n"/>
      <c r="HU41" s="48" t="n"/>
      <c r="HV41" s="48" t="n"/>
      <c r="HW41" s="48" t="n"/>
      <c r="HX41" s="48" t="n"/>
      <c r="HY41" s="48" t="n"/>
      <c r="HZ41" s="48" t="n"/>
      <c r="IA41" s="48" t="n"/>
      <c r="IB41" s="48" t="n"/>
      <c r="IC41" s="48" t="n"/>
      <c r="ID41" s="48" t="n"/>
      <c r="IE41" s="48" t="n"/>
      <c r="IF41" s="48" t="n"/>
      <c r="IG41" s="48" t="n"/>
      <c r="IH41" s="48" t="n"/>
      <c r="II41" s="48" t="n"/>
      <c r="IJ41" s="48" t="n"/>
      <c r="IK41" s="48" t="n"/>
      <c r="IL41" s="48" t="n"/>
      <c r="IM41" s="48" t="n"/>
      <c r="IN41" s="48" t="n"/>
      <c r="IO41" s="48" t="n"/>
      <c r="IP41" s="48" t="n"/>
      <c r="IQ41" s="48" t="n"/>
      <c r="IR41" s="48" t="n"/>
      <c r="IS41" s="48" t="n"/>
      <c r="IT41" s="48" t="n"/>
      <c r="IU41" s="48" t="n"/>
      <c r="IV41" s="48" t="n"/>
      <c r="IW41" s="48" t="n"/>
      <c r="IX41" s="48" t="n"/>
      <c r="IY41" s="48" t="n"/>
      <c r="IZ41" s="48" t="n"/>
      <c r="JA41" s="48" t="n"/>
      <c r="JB41" s="48" t="n"/>
      <c r="JC41" s="48" t="n"/>
      <c r="JD41" s="48" t="n"/>
      <c r="JE41" s="48" t="n"/>
      <c r="JF41" s="48" t="n"/>
      <c r="JG41" s="48" t="n"/>
      <c r="JH41" s="48" t="n"/>
      <c r="JI41" s="48" t="n"/>
      <c r="JJ41" s="48" t="n"/>
      <c r="JK41" s="48" t="n"/>
      <c r="JL41" s="48" t="n"/>
      <c r="JM41" s="48" t="n"/>
      <c r="JN41" s="48" t="n"/>
      <c r="JO41" s="48" t="n"/>
      <c r="JP41" s="48" t="n"/>
      <c r="JQ41" s="48" t="n"/>
      <c r="JR41" s="48" t="n"/>
      <c r="JS41" s="48" t="n"/>
      <c r="JT41" s="48" t="n"/>
      <c r="JU41" s="48" t="n"/>
      <c r="JV41" s="48" t="n"/>
      <c r="JW41" s="48" t="n"/>
      <c r="JX41" s="48" t="n"/>
      <c r="JY41" s="48" t="n"/>
      <c r="JZ41" s="48" t="n"/>
      <c r="KA41" s="48" t="n"/>
      <c r="KB41" s="48" t="n"/>
      <c r="KC41" s="48" t="n"/>
      <c r="KD41" s="48" t="n"/>
      <c r="KE41" s="48" t="n"/>
      <c r="KF41" s="48" t="n"/>
      <c r="KG41" s="48" t="n"/>
      <c r="KH41" s="48" t="n"/>
      <c r="KI41" s="48" t="n"/>
      <c r="KJ41" s="48" t="n"/>
      <c r="KK41" s="48" t="n"/>
      <c r="KL41" s="48" t="n"/>
      <c r="KM41" s="48" t="n"/>
      <c r="KN41" s="48" t="n"/>
      <c r="KO41" s="48" t="n"/>
      <c r="KP41" s="48" t="n"/>
      <c r="KQ41" s="48" t="n"/>
      <c r="KR41" s="48" t="n"/>
      <c r="KS41" s="48" t="n"/>
      <c r="KT41" s="48" t="n"/>
      <c r="KU41" s="48" t="n"/>
      <c r="KV41" s="48" t="n"/>
      <c r="KW41" s="48" t="n"/>
      <c r="KX41" s="48" t="n"/>
      <c r="KY41" s="48" t="n"/>
      <c r="KZ41" s="48" t="n"/>
      <c r="LA41" s="48" t="n"/>
      <c r="LB41" s="48" t="n"/>
      <c r="LC41" s="48" t="n"/>
    </row>
    <row r="42" ht="17" customHeight="1">
      <c r="A42" s="11" t="n">
        <v>34</v>
      </c>
      <c r="B42" s="11" t="inlineStr">
        <is>
          <t>ЮГ-3</t>
        </is>
      </c>
      <c r="C42" s="16">
        <f>'ЮГ-3'!B55</f>
        <v/>
      </c>
      <c r="D42" s="11">
        <f>'ЮГ-3'!C55</f>
        <v/>
      </c>
      <c r="E42" s="11">
        <f>'ЮГ-3'!D55</f>
        <v/>
      </c>
      <c r="F42" s="34">
        <f>'ЮГ-3'!J55</f>
        <v/>
      </c>
      <c r="G42" s="34">
        <f>'ЮГ-3'!G58</f>
        <v/>
      </c>
      <c r="H42" s="34">
        <f>'ЮГ-3'!K55</f>
        <v/>
      </c>
      <c r="I42" s="46">
        <f>'ЮГ-3'!H55</f>
        <v/>
      </c>
      <c r="J42" s="11">
        <f>'ЮГ-3'!L55</f>
        <v/>
      </c>
      <c r="K42" s="11">
        <f>'ЮГ-3'!M55</f>
        <v/>
      </c>
      <c r="L42" s="47">
        <f>'ЮГ-3'!N55</f>
        <v/>
      </c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  <c r="AA42" s="48" t="n"/>
      <c r="AB42" s="48" t="n"/>
      <c r="AC42" s="48" t="n"/>
      <c r="AD42" s="48" t="n"/>
      <c r="AE42" s="48" t="n"/>
      <c r="AF42" s="48" t="n"/>
      <c r="AG42" s="48" t="n"/>
      <c r="AH42" s="48" t="n"/>
      <c r="AI42" s="48" t="n"/>
      <c r="AJ42" s="48" t="n"/>
      <c r="AK42" s="48" t="n"/>
      <c r="AL42" s="48" t="n"/>
      <c r="AM42" s="48" t="n"/>
      <c r="AN42" s="48" t="n"/>
      <c r="AO42" s="48" t="n"/>
      <c r="AP42" s="48" t="n"/>
      <c r="AQ42" s="48" t="n"/>
      <c r="AR42" s="48" t="n"/>
      <c r="AS42" s="48" t="n"/>
      <c r="AT42" s="48" t="n"/>
      <c r="AU42" s="48" t="n"/>
      <c r="AV42" s="48" t="n"/>
      <c r="AW42" s="48" t="n"/>
      <c r="AX42" s="48" t="n"/>
      <c r="AY42" s="48" t="n"/>
      <c r="AZ42" s="48" t="n"/>
      <c r="BA42" s="48" t="n"/>
      <c r="BB42" s="48" t="n"/>
      <c r="BC42" s="48" t="n"/>
      <c r="BD42" s="48" t="n"/>
      <c r="BE42" s="48" t="n"/>
      <c r="BF42" s="48" t="n"/>
      <c r="BG42" s="48" t="n"/>
      <c r="BH42" s="48" t="n"/>
      <c r="BI42" s="48" t="n"/>
      <c r="BJ42" s="48" t="n"/>
      <c r="BK42" s="48" t="n"/>
      <c r="BL42" s="48" t="n"/>
      <c r="BM42" s="48" t="n"/>
      <c r="BN42" s="48" t="n"/>
      <c r="BO42" s="48" t="n"/>
      <c r="BP42" s="48" t="n"/>
      <c r="BQ42" s="48" t="n"/>
      <c r="BR42" s="48" t="n"/>
      <c r="BS42" s="48" t="n"/>
      <c r="BT42" s="48" t="n"/>
      <c r="BU42" s="48" t="n"/>
      <c r="BV42" s="48" t="n"/>
      <c r="BW42" s="48" t="n"/>
      <c r="BX42" s="48" t="n"/>
      <c r="BY42" s="48" t="n"/>
      <c r="BZ42" s="48" t="n"/>
      <c r="CA42" s="48" t="n"/>
      <c r="CB42" s="48" t="n"/>
      <c r="CC42" s="48" t="n"/>
      <c r="CD42" s="48" t="n"/>
      <c r="CE42" s="48" t="n"/>
      <c r="CF42" s="48" t="n"/>
      <c r="CG42" s="48" t="n"/>
      <c r="CH42" s="48" t="n"/>
      <c r="CI42" s="48" t="n"/>
      <c r="CJ42" s="48" t="n"/>
      <c r="CK42" s="48" t="n"/>
      <c r="CL42" s="48" t="n"/>
      <c r="CM42" s="48" t="n"/>
      <c r="CN42" s="48" t="n"/>
      <c r="CO42" s="48" t="n"/>
      <c r="CP42" s="48" t="n"/>
      <c r="CQ42" s="48" t="n"/>
      <c r="CR42" s="48" t="n"/>
      <c r="CS42" s="48" t="n"/>
      <c r="CT42" s="48" t="n"/>
      <c r="CU42" s="48" t="n"/>
      <c r="CV42" s="48" t="n"/>
      <c r="CW42" s="48" t="n"/>
      <c r="CX42" s="48" t="n"/>
      <c r="CY42" s="48" t="n"/>
      <c r="CZ42" s="48" t="n"/>
      <c r="DA42" s="48" t="n"/>
      <c r="DB42" s="48" t="n"/>
      <c r="DC42" s="48" t="n"/>
      <c r="DD42" s="48" t="n"/>
      <c r="DE42" s="48" t="n"/>
      <c r="DF42" s="48" t="n"/>
      <c r="DG42" s="48" t="n"/>
      <c r="DH42" s="48" t="n"/>
      <c r="DI42" s="48" t="n"/>
      <c r="DJ42" s="48" t="n"/>
      <c r="DK42" s="48" t="n"/>
      <c r="DL42" s="48" t="n"/>
      <c r="DM42" s="48" t="n"/>
      <c r="DN42" s="48" t="n"/>
      <c r="DO42" s="48" t="n"/>
      <c r="DP42" s="48" t="n"/>
      <c r="DQ42" s="48" t="n"/>
      <c r="DR42" s="48" t="n"/>
      <c r="DS42" s="48" t="n"/>
      <c r="DT42" s="48" t="n"/>
      <c r="DU42" s="48" t="n"/>
      <c r="DV42" s="48" t="n"/>
      <c r="DW42" s="48" t="n"/>
      <c r="DX42" s="48" t="n"/>
      <c r="DY42" s="48" t="n"/>
      <c r="DZ42" s="48" t="n"/>
      <c r="EA42" s="48" t="n"/>
      <c r="EB42" s="48" t="n"/>
      <c r="EC42" s="48" t="n"/>
      <c r="ED42" s="48" t="n"/>
      <c r="EE42" s="48" t="n"/>
      <c r="EF42" s="48" t="n"/>
      <c r="EG42" s="48" t="n"/>
      <c r="EH42" s="48" t="n"/>
      <c r="EI42" s="48" t="n"/>
      <c r="EJ42" s="48" t="n"/>
      <c r="EK42" s="48" t="n"/>
      <c r="EL42" s="48" t="n"/>
      <c r="EM42" s="48" t="n"/>
      <c r="EN42" s="48" t="n"/>
      <c r="EO42" s="48" t="n"/>
      <c r="EP42" s="48" t="n"/>
      <c r="EQ42" s="48" t="n"/>
      <c r="ER42" s="48" t="n"/>
      <c r="ES42" s="48" t="n"/>
      <c r="ET42" s="48" t="n"/>
      <c r="EU42" s="48" t="n"/>
      <c r="EV42" s="48" t="n"/>
      <c r="EW42" s="48" t="n"/>
      <c r="EX42" s="48" t="n"/>
      <c r="EY42" s="48" t="n"/>
      <c r="EZ42" s="48" t="n"/>
      <c r="FA42" s="48" t="n"/>
      <c r="FB42" s="48" t="n"/>
      <c r="FC42" s="48" t="n"/>
      <c r="FD42" s="48" t="n"/>
      <c r="FE42" s="48" t="n"/>
      <c r="FF42" s="48" t="n"/>
      <c r="FG42" s="48" t="n"/>
      <c r="FH42" s="48" t="n"/>
      <c r="FI42" s="48" t="n"/>
      <c r="FJ42" s="48" t="n"/>
      <c r="FK42" s="48" t="n"/>
      <c r="FL42" s="48" t="n"/>
      <c r="FM42" s="48" t="n"/>
      <c r="FN42" s="48" t="n"/>
      <c r="FO42" s="48" t="n"/>
      <c r="FP42" s="48" t="n"/>
      <c r="FQ42" s="48" t="n"/>
      <c r="FR42" s="48" t="n"/>
      <c r="FS42" s="48" t="n"/>
      <c r="FT42" s="48" t="n"/>
      <c r="FU42" s="48" t="n"/>
      <c r="FV42" s="48" t="n"/>
      <c r="FW42" s="48" t="n"/>
      <c r="FX42" s="48" t="n"/>
      <c r="FY42" s="48" t="n"/>
      <c r="FZ42" s="48" t="n"/>
      <c r="GA42" s="48" t="n"/>
      <c r="GB42" s="48" t="n"/>
      <c r="GC42" s="48" t="n"/>
      <c r="GD42" s="48" t="n"/>
      <c r="GE42" s="48" t="n"/>
      <c r="GF42" s="48" t="n"/>
      <c r="GG42" s="48" t="n"/>
      <c r="GH42" s="48" t="n"/>
      <c r="GI42" s="48" t="n"/>
      <c r="GJ42" s="48" t="n"/>
      <c r="GK42" s="48" t="n"/>
      <c r="GL42" s="48" t="n"/>
      <c r="GM42" s="48" t="n"/>
      <c r="GN42" s="48" t="n"/>
      <c r="GO42" s="48" t="n"/>
      <c r="GP42" s="48" t="n"/>
      <c r="GQ42" s="48" t="n"/>
      <c r="GR42" s="48" t="n"/>
      <c r="GS42" s="48" t="n"/>
      <c r="GT42" s="48" t="n"/>
      <c r="GU42" s="48" t="n"/>
      <c r="GV42" s="48" t="n"/>
      <c r="GW42" s="48" t="n"/>
      <c r="GX42" s="48" t="n"/>
      <c r="GY42" s="48" t="n"/>
      <c r="GZ42" s="48" t="n"/>
      <c r="HA42" s="48" t="n"/>
      <c r="HB42" s="48" t="n"/>
      <c r="HC42" s="48" t="n"/>
      <c r="HD42" s="48" t="n"/>
      <c r="HE42" s="48" t="n"/>
      <c r="HF42" s="48" t="n"/>
      <c r="HG42" s="48" t="n"/>
      <c r="HH42" s="48" t="n"/>
      <c r="HI42" s="48" t="n"/>
      <c r="HJ42" s="48" t="n"/>
      <c r="HK42" s="48" t="n"/>
      <c r="HL42" s="48" t="n"/>
      <c r="HM42" s="48" t="n"/>
      <c r="HN42" s="48" t="n"/>
      <c r="HO42" s="48" t="n"/>
      <c r="HP42" s="48" t="n"/>
      <c r="HQ42" s="48" t="n"/>
      <c r="HR42" s="48" t="n"/>
      <c r="HS42" s="48" t="n"/>
      <c r="HT42" s="48" t="n"/>
      <c r="HU42" s="48" t="n"/>
      <c r="HV42" s="48" t="n"/>
      <c r="HW42" s="48" t="n"/>
      <c r="HX42" s="48" t="n"/>
      <c r="HY42" s="48" t="n"/>
      <c r="HZ42" s="48" t="n"/>
      <c r="IA42" s="48" t="n"/>
      <c r="IB42" s="48" t="n"/>
      <c r="IC42" s="48" t="n"/>
      <c r="ID42" s="48" t="n"/>
      <c r="IE42" s="48" t="n"/>
      <c r="IF42" s="48" t="n"/>
      <c r="IG42" s="48" t="n"/>
      <c r="IH42" s="48" t="n"/>
      <c r="II42" s="48" t="n"/>
      <c r="IJ42" s="48" t="n"/>
      <c r="IK42" s="48" t="n"/>
      <c r="IL42" s="48" t="n"/>
      <c r="IM42" s="48" t="n"/>
      <c r="IN42" s="48" t="n"/>
      <c r="IO42" s="48" t="n"/>
      <c r="IP42" s="48" t="n"/>
      <c r="IQ42" s="48" t="n"/>
      <c r="IR42" s="48" t="n"/>
      <c r="IS42" s="48" t="n"/>
      <c r="IT42" s="48" t="n"/>
      <c r="IU42" s="48" t="n"/>
      <c r="IV42" s="48" t="n"/>
      <c r="IW42" s="48" t="n"/>
      <c r="IX42" s="48" t="n"/>
      <c r="IY42" s="48" t="n"/>
      <c r="IZ42" s="48" t="n"/>
      <c r="JA42" s="48" t="n"/>
      <c r="JB42" s="48" t="n"/>
      <c r="JC42" s="48" t="n"/>
      <c r="JD42" s="48" t="n"/>
      <c r="JE42" s="48" t="n"/>
      <c r="JF42" s="48" t="n"/>
      <c r="JG42" s="48" t="n"/>
      <c r="JH42" s="48" t="n"/>
      <c r="JI42" s="48" t="n"/>
      <c r="JJ42" s="48" t="n"/>
      <c r="JK42" s="48" t="n"/>
      <c r="JL42" s="48" t="n"/>
      <c r="JM42" s="48" t="n"/>
      <c r="JN42" s="48" t="n"/>
      <c r="JO42" s="48" t="n"/>
      <c r="JP42" s="48" t="n"/>
      <c r="JQ42" s="48" t="n"/>
      <c r="JR42" s="48" t="n"/>
      <c r="JS42" s="48" t="n"/>
      <c r="JT42" s="48" t="n"/>
      <c r="JU42" s="48" t="n"/>
      <c r="JV42" s="48" t="n"/>
      <c r="JW42" s="48" t="n"/>
      <c r="JX42" s="48" t="n"/>
      <c r="JY42" s="48" t="n"/>
      <c r="JZ42" s="48" t="n"/>
      <c r="KA42" s="48" t="n"/>
      <c r="KB42" s="48" t="n"/>
      <c r="KC42" s="48" t="n"/>
      <c r="KD42" s="48" t="n"/>
      <c r="KE42" s="48" t="n"/>
      <c r="KF42" s="48" t="n"/>
      <c r="KG42" s="48" t="n"/>
      <c r="KH42" s="48" t="n"/>
      <c r="KI42" s="48" t="n"/>
      <c r="KJ42" s="48" t="n"/>
      <c r="KK42" s="48" t="n"/>
      <c r="KL42" s="48" t="n"/>
      <c r="KM42" s="48" t="n"/>
      <c r="KN42" s="48" t="n"/>
      <c r="KO42" s="48" t="n"/>
      <c r="KP42" s="48" t="n"/>
      <c r="KQ42" s="48" t="n"/>
      <c r="KR42" s="48" t="n"/>
      <c r="KS42" s="48" t="n"/>
      <c r="KT42" s="48" t="n"/>
      <c r="KU42" s="48" t="n"/>
      <c r="KV42" s="48" t="n"/>
      <c r="KW42" s="48" t="n"/>
      <c r="KX42" s="48" t="n"/>
      <c r="KY42" s="48" t="n"/>
      <c r="KZ42" s="48" t="n"/>
      <c r="LA42" s="48" t="n"/>
      <c r="LB42" s="48" t="n"/>
      <c r="LC42" s="48" t="n"/>
    </row>
    <row r="43" ht="17" customHeight="1">
      <c r="A43" s="11" t="n">
        <v>35</v>
      </c>
      <c r="B43" s="11" t="inlineStr">
        <is>
          <t>ЮГ-3</t>
        </is>
      </c>
      <c r="C43" s="16">
        <f>'ЮГ-3'!B65</f>
        <v/>
      </c>
      <c r="D43" s="11">
        <f>'ЮГ-3'!C65</f>
        <v/>
      </c>
      <c r="E43" s="11">
        <f>'ЮГ-3'!D65</f>
        <v/>
      </c>
      <c r="F43" s="34">
        <f>'ЮГ-3'!J65</f>
        <v/>
      </c>
      <c r="G43" s="34">
        <f>'ЮГ-3'!G68</f>
        <v/>
      </c>
      <c r="H43" s="34">
        <f>'ЮГ-3'!K65</f>
        <v/>
      </c>
      <c r="I43" s="46">
        <f>'ЮГ-3'!H65</f>
        <v/>
      </c>
      <c r="J43" s="11">
        <f>'ЮГ-3'!L65</f>
        <v/>
      </c>
      <c r="K43" s="11">
        <f>'ЮГ-3'!M65</f>
        <v/>
      </c>
      <c r="L43" s="47">
        <f>'ЮГ-3'!N65</f>
        <v/>
      </c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48" t="n"/>
      <c r="AG43" s="48" t="n"/>
      <c r="AH43" s="48" t="n"/>
      <c r="AI43" s="48" t="n"/>
      <c r="AJ43" s="48" t="n"/>
      <c r="AK43" s="48" t="n"/>
      <c r="AL43" s="48" t="n"/>
      <c r="AM43" s="48" t="n"/>
      <c r="AN43" s="48" t="n"/>
      <c r="AO43" s="48" t="n"/>
      <c r="AP43" s="48" t="n"/>
      <c r="AQ43" s="48" t="n"/>
      <c r="AR43" s="48" t="n"/>
      <c r="AS43" s="48" t="n"/>
      <c r="AT43" s="48" t="n"/>
      <c r="AU43" s="48" t="n"/>
      <c r="AV43" s="48" t="n"/>
      <c r="AW43" s="48" t="n"/>
      <c r="AX43" s="48" t="n"/>
      <c r="AY43" s="48" t="n"/>
      <c r="AZ43" s="48" t="n"/>
      <c r="BA43" s="48" t="n"/>
      <c r="BB43" s="48" t="n"/>
      <c r="BC43" s="48" t="n"/>
      <c r="BD43" s="48" t="n"/>
      <c r="BE43" s="48" t="n"/>
      <c r="BF43" s="48" t="n"/>
      <c r="BG43" s="48" t="n"/>
      <c r="BH43" s="48" t="n"/>
      <c r="BI43" s="48" t="n"/>
      <c r="BJ43" s="48" t="n"/>
      <c r="BK43" s="48" t="n"/>
      <c r="BL43" s="48" t="n"/>
      <c r="BM43" s="48" t="n"/>
      <c r="BN43" s="48" t="n"/>
      <c r="BO43" s="48" t="n"/>
      <c r="BP43" s="48" t="n"/>
      <c r="BQ43" s="48" t="n"/>
      <c r="BR43" s="48" t="n"/>
      <c r="BS43" s="48" t="n"/>
      <c r="BT43" s="48" t="n"/>
      <c r="BU43" s="48" t="n"/>
      <c r="BV43" s="48" t="n"/>
      <c r="BW43" s="48" t="n"/>
      <c r="BX43" s="48" t="n"/>
      <c r="BY43" s="48" t="n"/>
      <c r="BZ43" s="48" t="n"/>
      <c r="CA43" s="48" t="n"/>
      <c r="CB43" s="48" t="n"/>
      <c r="CC43" s="48" t="n"/>
      <c r="CD43" s="48" t="n"/>
      <c r="CE43" s="48" t="n"/>
      <c r="CF43" s="48" t="n"/>
      <c r="CG43" s="48" t="n"/>
      <c r="CH43" s="48" t="n"/>
      <c r="CI43" s="48" t="n"/>
      <c r="CJ43" s="48" t="n"/>
      <c r="CK43" s="48" t="n"/>
      <c r="CL43" s="48" t="n"/>
      <c r="CM43" s="48" t="n"/>
      <c r="CN43" s="48" t="n"/>
      <c r="CO43" s="48" t="n"/>
      <c r="CP43" s="48" t="n"/>
      <c r="CQ43" s="48" t="n"/>
      <c r="CR43" s="48" t="n"/>
      <c r="CS43" s="48" t="n"/>
      <c r="CT43" s="48" t="n"/>
      <c r="CU43" s="48" t="n"/>
      <c r="CV43" s="48" t="n"/>
      <c r="CW43" s="48" t="n"/>
      <c r="CX43" s="48" t="n"/>
      <c r="CY43" s="48" t="n"/>
      <c r="CZ43" s="48" t="n"/>
      <c r="DA43" s="48" t="n"/>
      <c r="DB43" s="48" t="n"/>
      <c r="DC43" s="48" t="n"/>
      <c r="DD43" s="48" t="n"/>
      <c r="DE43" s="48" t="n"/>
      <c r="DF43" s="48" t="n"/>
      <c r="DG43" s="48" t="n"/>
      <c r="DH43" s="48" t="n"/>
      <c r="DI43" s="48" t="n"/>
      <c r="DJ43" s="48" t="n"/>
      <c r="DK43" s="48" t="n"/>
      <c r="DL43" s="48" t="n"/>
      <c r="DM43" s="48" t="n"/>
      <c r="DN43" s="48" t="n"/>
      <c r="DO43" s="48" t="n"/>
      <c r="DP43" s="48" t="n"/>
      <c r="DQ43" s="48" t="n"/>
      <c r="DR43" s="48" t="n"/>
      <c r="DS43" s="48" t="n"/>
      <c r="DT43" s="48" t="n"/>
      <c r="DU43" s="48" t="n"/>
      <c r="DV43" s="48" t="n"/>
      <c r="DW43" s="48" t="n"/>
      <c r="DX43" s="48" t="n"/>
      <c r="DY43" s="48" t="n"/>
      <c r="DZ43" s="48" t="n"/>
      <c r="EA43" s="48" t="n"/>
      <c r="EB43" s="48" t="n"/>
      <c r="EC43" s="48" t="n"/>
      <c r="ED43" s="48" t="n"/>
      <c r="EE43" s="48" t="n"/>
      <c r="EF43" s="48" t="n"/>
      <c r="EG43" s="48" t="n"/>
      <c r="EH43" s="48" t="n"/>
      <c r="EI43" s="48" t="n"/>
      <c r="EJ43" s="48" t="n"/>
      <c r="EK43" s="48" t="n"/>
      <c r="EL43" s="48" t="n"/>
      <c r="EM43" s="48" t="n"/>
      <c r="EN43" s="48" t="n"/>
      <c r="EO43" s="48" t="n"/>
      <c r="EP43" s="48" t="n"/>
      <c r="EQ43" s="48" t="n"/>
      <c r="ER43" s="48" t="n"/>
      <c r="ES43" s="48" t="n"/>
      <c r="ET43" s="48" t="n"/>
      <c r="EU43" s="48" t="n"/>
      <c r="EV43" s="48" t="n"/>
      <c r="EW43" s="48" t="n"/>
      <c r="EX43" s="48" t="n"/>
      <c r="EY43" s="48" t="n"/>
      <c r="EZ43" s="48" t="n"/>
      <c r="FA43" s="48" t="n"/>
      <c r="FB43" s="48" t="n"/>
      <c r="FC43" s="48" t="n"/>
      <c r="FD43" s="48" t="n"/>
      <c r="FE43" s="48" t="n"/>
      <c r="FF43" s="48" t="n"/>
      <c r="FG43" s="48" t="n"/>
      <c r="FH43" s="48" t="n"/>
      <c r="FI43" s="48" t="n"/>
      <c r="FJ43" s="48" t="n"/>
      <c r="FK43" s="48" t="n"/>
      <c r="FL43" s="48" t="n"/>
      <c r="FM43" s="48" t="n"/>
      <c r="FN43" s="48" t="n"/>
      <c r="FO43" s="48" t="n"/>
      <c r="FP43" s="48" t="n"/>
      <c r="FQ43" s="48" t="n"/>
      <c r="FR43" s="48" t="n"/>
      <c r="FS43" s="48" t="n"/>
      <c r="FT43" s="48" t="n"/>
      <c r="FU43" s="48" t="n"/>
      <c r="FV43" s="48" t="n"/>
      <c r="FW43" s="48" t="n"/>
      <c r="FX43" s="48" t="n"/>
      <c r="FY43" s="48" t="n"/>
      <c r="FZ43" s="48" t="n"/>
      <c r="GA43" s="48" t="n"/>
      <c r="GB43" s="48" t="n"/>
      <c r="GC43" s="48" t="n"/>
      <c r="GD43" s="48" t="n"/>
      <c r="GE43" s="48" t="n"/>
      <c r="GF43" s="48" t="n"/>
      <c r="GG43" s="48" t="n"/>
      <c r="GH43" s="48" t="n"/>
      <c r="GI43" s="48" t="n"/>
      <c r="GJ43" s="48" t="n"/>
      <c r="GK43" s="48" t="n"/>
      <c r="GL43" s="48" t="n"/>
      <c r="GM43" s="48" t="n"/>
      <c r="GN43" s="48" t="n"/>
      <c r="GO43" s="48" t="n"/>
      <c r="GP43" s="48" t="n"/>
      <c r="GQ43" s="48" t="n"/>
      <c r="GR43" s="48" t="n"/>
      <c r="GS43" s="48" t="n"/>
      <c r="GT43" s="48" t="n"/>
      <c r="GU43" s="48" t="n"/>
      <c r="GV43" s="48" t="n"/>
      <c r="GW43" s="48" t="n"/>
      <c r="GX43" s="48" t="n"/>
      <c r="GY43" s="48" t="n"/>
      <c r="GZ43" s="48" t="n"/>
      <c r="HA43" s="48" t="n"/>
      <c r="HB43" s="48" t="n"/>
      <c r="HC43" s="48" t="n"/>
      <c r="HD43" s="48" t="n"/>
      <c r="HE43" s="48" t="n"/>
      <c r="HF43" s="48" t="n"/>
      <c r="HG43" s="48" t="n"/>
      <c r="HH43" s="48" t="n"/>
      <c r="HI43" s="48" t="n"/>
      <c r="HJ43" s="48" t="n"/>
      <c r="HK43" s="48" t="n"/>
      <c r="HL43" s="48" t="n"/>
      <c r="HM43" s="48" t="n"/>
      <c r="HN43" s="48" t="n"/>
      <c r="HO43" s="48" t="n"/>
      <c r="HP43" s="48" t="n"/>
      <c r="HQ43" s="48" t="n"/>
      <c r="HR43" s="48" t="n"/>
      <c r="HS43" s="48" t="n"/>
      <c r="HT43" s="48" t="n"/>
      <c r="HU43" s="48" t="n"/>
      <c r="HV43" s="48" t="n"/>
      <c r="HW43" s="48" t="n"/>
      <c r="HX43" s="48" t="n"/>
      <c r="HY43" s="48" t="n"/>
      <c r="HZ43" s="48" t="n"/>
      <c r="IA43" s="48" t="n"/>
      <c r="IB43" s="48" t="n"/>
      <c r="IC43" s="48" t="n"/>
      <c r="ID43" s="48" t="n"/>
      <c r="IE43" s="48" t="n"/>
      <c r="IF43" s="48" t="n"/>
      <c r="IG43" s="48" t="n"/>
      <c r="IH43" s="48" t="n"/>
      <c r="II43" s="48" t="n"/>
      <c r="IJ43" s="48" t="n"/>
      <c r="IK43" s="48" t="n"/>
      <c r="IL43" s="48" t="n"/>
      <c r="IM43" s="48" t="n"/>
      <c r="IN43" s="48" t="n"/>
      <c r="IO43" s="48" t="n"/>
      <c r="IP43" s="48" t="n"/>
      <c r="IQ43" s="48" t="n"/>
      <c r="IR43" s="48" t="n"/>
      <c r="IS43" s="48" t="n"/>
      <c r="IT43" s="48" t="n"/>
      <c r="IU43" s="48" t="n"/>
      <c r="IV43" s="48" t="n"/>
      <c r="IW43" s="48" t="n"/>
      <c r="IX43" s="48" t="n"/>
      <c r="IY43" s="48" t="n"/>
      <c r="IZ43" s="48" t="n"/>
      <c r="JA43" s="48" t="n"/>
      <c r="JB43" s="48" t="n"/>
      <c r="JC43" s="48" t="n"/>
      <c r="JD43" s="48" t="n"/>
      <c r="JE43" s="48" t="n"/>
      <c r="JF43" s="48" t="n"/>
      <c r="JG43" s="48" t="n"/>
      <c r="JH43" s="48" t="n"/>
      <c r="JI43" s="48" t="n"/>
      <c r="JJ43" s="48" t="n"/>
      <c r="JK43" s="48" t="n"/>
      <c r="JL43" s="48" t="n"/>
      <c r="JM43" s="48" t="n"/>
      <c r="JN43" s="48" t="n"/>
      <c r="JO43" s="48" t="n"/>
      <c r="JP43" s="48" t="n"/>
      <c r="JQ43" s="48" t="n"/>
      <c r="JR43" s="48" t="n"/>
      <c r="JS43" s="48" t="n"/>
      <c r="JT43" s="48" t="n"/>
      <c r="JU43" s="48" t="n"/>
      <c r="JV43" s="48" t="n"/>
      <c r="JW43" s="48" t="n"/>
      <c r="JX43" s="48" t="n"/>
      <c r="JY43" s="48" t="n"/>
      <c r="JZ43" s="48" t="n"/>
      <c r="KA43" s="48" t="n"/>
      <c r="KB43" s="48" t="n"/>
      <c r="KC43" s="48" t="n"/>
      <c r="KD43" s="48" t="n"/>
      <c r="KE43" s="48" t="n"/>
      <c r="KF43" s="48" t="n"/>
      <c r="KG43" s="48" t="n"/>
      <c r="KH43" s="48" t="n"/>
      <c r="KI43" s="48" t="n"/>
      <c r="KJ43" s="48" t="n"/>
      <c r="KK43" s="48" t="n"/>
      <c r="KL43" s="48" t="n"/>
      <c r="KM43" s="48" t="n"/>
      <c r="KN43" s="48" t="n"/>
      <c r="KO43" s="48" t="n"/>
      <c r="KP43" s="48" t="n"/>
      <c r="KQ43" s="48" t="n"/>
      <c r="KR43" s="48" t="n"/>
      <c r="KS43" s="48" t="n"/>
      <c r="KT43" s="48" t="n"/>
      <c r="KU43" s="48" t="n"/>
      <c r="KV43" s="48" t="n"/>
      <c r="KW43" s="48" t="n"/>
      <c r="KX43" s="48" t="n"/>
      <c r="KY43" s="48" t="n"/>
      <c r="KZ43" s="48" t="n"/>
      <c r="LA43" s="48" t="n"/>
      <c r="LB43" s="48" t="n"/>
      <c r="LC43" s="48" t="n"/>
    </row>
    <row r="44" ht="17" customHeight="1">
      <c r="A44" s="11" t="n">
        <v>36</v>
      </c>
      <c r="B44" s="11" t="inlineStr">
        <is>
          <t>ЮГ-3</t>
        </is>
      </c>
      <c r="C44" s="16">
        <f>'ЮГ-3'!B75</f>
        <v/>
      </c>
      <c r="D44" s="11">
        <f>'ЮГ-3'!C75</f>
        <v/>
      </c>
      <c r="E44" s="11">
        <f>'ЮГ-3'!D75</f>
        <v/>
      </c>
      <c r="F44" s="34">
        <f>'ЮГ-3'!J75</f>
        <v/>
      </c>
      <c r="G44" s="34">
        <f>'ЮГ-3'!G78</f>
        <v/>
      </c>
      <c r="H44" s="34">
        <f>'ЮГ-3'!K75</f>
        <v/>
      </c>
      <c r="I44" s="46">
        <f>'ЮГ-3'!H75</f>
        <v/>
      </c>
      <c r="J44" s="11">
        <f>'ЮГ-3'!L75</f>
        <v/>
      </c>
      <c r="K44" s="11">
        <f>'ЮГ-3'!M75</f>
        <v/>
      </c>
      <c r="L44" s="47">
        <f>'ЮГ-3'!N75</f>
        <v/>
      </c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48" t="n"/>
      <c r="AG44" s="48" t="n"/>
      <c r="AH44" s="48" t="n"/>
      <c r="AI44" s="48" t="n"/>
      <c r="AJ44" s="48" t="n"/>
      <c r="AK44" s="48" t="n"/>
      <c r="AL44" s="48" t="n"/>
      <c r="AM44" s="48" t="n"/>
      <c r="AN44" s="48" t="n"/>
      <c r="AO44" s="48" t="n"/>
      <c r="AP44" s="48" t="n"/>
      <c r="AQ44" s="48" t="n"/>
      <c r="AR44" s="48" t="n"/>
      <c r="AS44" s="48" t="n"/>
      <c r="AT44" s="48" t="n"/>
      <c r="AU44" s="48" t="n"/>
      <c r="AV44" s="48" t="n"/>
      <c r="AW44" s="48" t="n"/>
      <c r="AX44" s="48" t="n"/>
      <c r="AY44" s="48" t="n"/>
      <c r="AZ44" s="48" t="n"/>
      <c r="BA44" s="48" t="n"/>
      <c r="BB44" s="48" t="n"/>
      <c r="BC44" s="48" t="n"/>
      <c r="BD44" s="48" t="n"/>
      <c r="BE44" s="48" t="n"/>
      <c r="BF44" s="48" t="n"/>
      <c r="BG44" s="48" t="n"/>
      <c r="BH44" s="48" t="n"/>
      <c r="BI44" s="48" t="n"/>
      <c r="BJ44" s="48" t="n"/>
      <c r="BK44" s="48" t="n"/>
      <c r="BL44" s="48" t="n"/>
      <c r="BM44" s="48" t="n"/>
      <c r="BN44" s="48" t="n"/>
      <c r="BO44" s="48" t="n"/>
      <c r="BP44" s="48" t="n"/>
      <c r="BQ44" s="48" t="n"/>
      <c r="BR44" s="48" t="n"/>
      <c r="BS44" s="48" t="n"/>
      <c r="BT44" s="48" t="n"/>
      <c r="BU44" s="48" t="n"/>
      <c r="BV44" s="48" t="n"/>
      <c r="BW44" s="48" t="n"/>
      <c r="BX44" s="48" t="n"/>
      <c r="BY44" s="48" t="n"/>
      <c r="BZ44" s="48" t="n"/>
      <c r="CA44" s="48" t="n"/>
      <c r="CB44" s="48" t="n"/>
      <c r="CC44" s="48" t="n"/>
      <c r="CD44" s="48" t="n"/>
      <c r="CE44" s="48" t="n"/>
      <c r="CF44" s="48" t="n"/>
      <c r="CG44" s="48" t="n"/>
      <c r="CH44" s="48" t="n"/>
      <c r="CI44" s="48" t="n"/>
      <c r="CJ44" s="48" t="n"/>
      <c r="CK44" s="48" t="n"/>
      <c r="CL44" s="48" t="n"/>
      <c r="CM44" s="48" t="n"/>
      <c r="CN44" s="48" t="n"/>
      <c r="CO44" s="48" t="n"/>
      <c r="CP44" s="48" t="n"/>
      <c r="CQ44" s="48" t="n"/>
      <c r="CR44" s="48" t="n"/>
      <c r="CS44" s="48" t="n"/>
      <c r="CT44" s="48" t="n"/>
      <c r="CU44" s="48" t="n"/>
      <c r="CV44" s="48" t="n"/>
      <c r="CW44" s="48" t="n"/>
      <c r="CX44" s="48" t="n"/>
      <c r="CY44" s="48" t="n"/>
      <c r="CZ44" s="48" t="n"/>
      <c r="DA44" s="48" t="n"/>
      <c r="DB44" s="48" t="n"/>
      <c r="DC44" s="48" t="n"/>
      <c r="DD44" s="48" t="n"/>
      <c r="DE44" s="48" t="n"/>
      <c r="DF44" s="48" t="n"/>
      <c r="DG44" s="48" t="n"/>
      <c r="DH44" s="48" t="n"/>
      <c r="DI44" s="48" t="n"/>
      <c r="DJ44" s="48" t="n"/>
      <c r="DK44" s="48" t="n"/>
      <c r="DL44" s="48" t="n"/>
      <c r="DM44" s="48" t="n"/>
      <c r="DN44" s="48" t="n"/>
      <c r="DO44" s="48" t="n"/>
      <c r="DP44" s="48" t="n"/>
      <c r="DQ44" s="48" t="n"/>
      <c r="DR44" s="48" t="n"/>
      <c r="DS44" s="48" t="n"/>
      <c r="DT44" s="48" t="n"/>
      <c r="DU44" s="48" t="n"/>
      <c r="DV44" s="48" t="n"/>
      <c r="DW44" s="48" t="n"/>
      <c r="DX44" s="48" t="n"/>
      <c r="DY44" s="48" t="n"/>
      <c r="DZ44" s="48" t="n"/>
      <c r="EA44" s="48" t="n"/>
      <c r="EB44" s="48" t="n"/>
      <c r="EC44" s="48" t="n"/>
      <c r="ED44" s="48" t="n"/>
      <c r="EE44" s="48" t="n"/>
      <c r="EF44" s="48" t="n"/>
      <c r="EG44" s="48" t="n"/>
      <c r="EH44" s="48" t="n"/>
      <c r="EI44" s="48" t="n"/>
      <c r="EJ44" s="48" t="n"/>
      <c r="EK44" s="48" t="n"/>
      <c r="EL44" s="48" t="n"/>
      <c r="EM44" s="48" t="n"/>
      <c r="EN44" s="48" t="n"/>
      <c r="EO44" s="48" t="n"/>
      <c r="EP44" s="48" t="n"/>
      <c r="EQ44" s="48" t="n"/>
      <c r="ER44" s="48" t="n"/>
      <c r="ES44" s="48" t="n"/>
      <c r="ET44" s="48" t="n"/>
      <c r="EU44" s="48" t="n"/>
      <c r="EV44" s="48" t="n"/>
      <c r="EW44" s="48" t="n"/>
      <c r="EX44" s="48" t="n"/>
      <c r="EY44" s="48" t="n"/>
      <c r="EZ44" s="48" t="n"/>
      <c r="FA44" s="48" t="n"/>
      <c r="FB44" s="48" t="n"/>
      <c r="FC44" s="48" t="n"/>
      <c r="FD44" s="48" t="n"/>
      <c r="FE44" s="48" t="n"/>
      <c r="FF44" s="48" t="n"/>
      <c r="FG44" s="48" t="n"/>
      <c r="FH44" s="48" t="n"/>
      <c r="FI44" s="48" t="n"/>
      <c r="FJ44" s="48" t="n"/>
      <c r="FK44" s="48" t="n"/>
      <c r="FL44" s="48" t="n"/>
      <c r="FM44" s="48" t="n"/>
      <c r="FN44" s="48" t="n"/>
      <c r="FO44" s="48" t="n"/>
      <c r="FP44" s="48" t="n"/>
      <c r="FQ44" s="48" t="n"/>
      <c r="FR44" s="48" t="n"/>
      <c r="FS44" s="48" t="n"/>
      <c r="FT44" s="48" t="n"/>
      <c r="FU44" s="48" t="n"/>
      <c r="FV44" s="48" t="n"/>
      <c r="FW44" s="48" t="n"/>
      <c r="FX44" s="48" t="n"/>
      <c r="FY44" s="48" t="n"/>
      <c r="FZ44" s="48" t="n"/>
      <c r="GA44" s="48" t="n"/>
      <c r="GB44" s="48" t="n"/>
      <c r="GC44" s="48" t="n"/>
      <c r="GD44" s="48" t="n"/>
      <c r="GE44" s="48" t="n"/>
      <c r="GF44" s="48" t="n"/>
      <c r="GG44" s="48" t="n"/>
      <c r="GH44" s="48" t="n"/>
      <c r="GI44" s="48" t="n"/>
      <c r="GJ44" s="48" t="n"/>
      <c r="GK44" s="48" t="n"/>
      <c r="GL44" s="48" t="n"/>
      <c r="GM44" s="48" t="n"/>
      <c r="GN44" s="48" t="n"/>
      <c r="GO44" s="48" t="n"/>
      <c r="GP44" s="48" t="n"/>
      <c r="GQ44" s="48" t="n"/>
      <c r="GR44" s="48" t="n"/>
      <c r="GS44" s="48" t="n"/>
      <c r="GT44" s="48" t="n"/>
      <c r="GU44" s="48" t="n"/>
      <c r="GV44" s="48" t="n"/>
      <c r="GW44" s="48" t="n"/>
      <c r="GX44" s="48" t="n"/>
      <c r="GY44" s="48" t="n"/>
      <c r="GZ44" s="48" t="n"/>
      <c r="HA44" s="48" t="n"/>
      <c r="HB44" s="48" t="n"/>
      <c r="HC44" s="48" t="n"/>
      <c r="HD44" s="48" t="n"/>
      <c r="HE44" s="48" t="n"/>
      <c r="HF44" s="48" t="n"/>
      <c r="HG44" s="48" t="n"/>
      <c r="HH44" s="48" t="n"/>
      <c r="HI44" s="48" t="n"/>
      <c r="HJ44" s="48" t="n"/>
      <c r="HK44" s="48" t="n"/>
      <c r="HL44" s="48" t="n"/>
      <c r="HM44" s="48" t="n"/>
      <c r="HN44" s="48" t="n"/>
      <c r="HO44" s="48" t="n"/>
      <c r="HP44" s="48" t="n"/>
      <c r="HQ44" s="48" t="n"/>
      <c r="HR44" s="48" t="n"/>
      <c r="HS44" s="48" t="n"/>
      <c r="HT44" s="48" t="n"/>
      <c r="HU44" s="48" t="n"/>
      <c r="HV44" s="48" t="n"/>
      <c r="HW44" s="48" t="n"/>
      <c r="HX44" s="48" t="n"/>
      <c r="HY44" s="48" t="n"/>
      <c r="HZ44" s="48" t="n"/>
      <c r="IA44" s="48" t="n"/>
      <c r="IB44" s="48" t="n"/>
      <c r="IC44" s="48" t="n"/>
      <c r="ID44" s="48" t="n"/>
      <c r="IE44" s="48" t="n"/>
      <c r="IF44" s="48" t="n"/>
      <c r="IG44" s="48" t="n"/>
      <c r="IH44" s="48" t="n"/>
      <c r="II44" s="48" t="n"/>
      <c r="IJ44" s="48" t="n"/>
      <c r="IK44" s="48" t="n"/>
      <c r="IL44" s="48" t="n"/>
      <c r="IM44" s="48" t="n"/>
      <c r="IN44" s="48" t="n"/>
      <c r="IO44" s="48" t="n"/>
      <c r="IP44" s="48" t="n"/>
      <c r="IQ44" s="48" t="n"/>
      <c r="IR44" s="48" t="n"/>
      <c r="IS44" s="48" t="n"/>
      <c r="IT44" s="48" t="n"/>
      <c r="IU44" s="48" t="n"/>
      <c r="IV44" s="48" t="n"/>
      <c r="IW44" s="48" t="n"/>
      <c r="IX44" s="48" t="n"/>
      <c r="IY44" s="48" t="n"/>
      <c r="IZ44" s="48" t="n"/>
      <c r="JA44" s="48" t="n"/>
      <c r="JB44" s="48" t="n"/>
      <c r="JC44" s="48" t="n"/>
      <c r="JD44" s="48" t="n"/>
      <c r="JE44" s="48" t="n"/>
      <c r="JF44" s="48" t="n"/>
      <c r="JG44" s="48" t="n"/>
      <c r="JH44" s="48" t="n"/>
      <c r="JI44" s="48" t="n"/>
      <c r="JJ44" s="48" t="n"/>
      <c r="JK44" s="48" t="n"/>
      <c r="JL44" s="48" t="n"/>
      <c r="JM44" s="48" t="n"/>
      <c r="JN44" s="48" t="n"/>
      <c r="JO44" s="48" t="n"/>
      <c r="JP44" s="48" t="n"/>
      <c r="JQ44" s="48" t="n"/>
      <c r="JR44" s="48" t="n"/>
      <c r="JS44" s="48" t="n"/>
      <c r="JT44" s="48" t="n"/>
      <c r="JU44" s="48" t="n"/>
      <c r="JV44" s="48" t="n"/>
      <c r="JW44" s="48" t="n"/>
      <c r="JX44" s="48" t="n"/>
      <c r="JY44" s="48" t="n"/>
      <c r="JZ44" s="48" t="n"/>
      <c r="KA44" s="48" t="n"/>
      <c r="KB44" s="48" t="n"/>
      <c r="KC44" s="48" t="n"/>
      <c r="KD44" s="48" t="n"/>
      <c r="KE44" s="48" t="n"/>
      <c r="KF44" s="48" t="n"/>
      <c r="KG44" s="48" t="n"/>
      <c r="KH44" s="48" t="n"/>
      <c r="KI44" s="48" t="n"/>
      <c r="KJ44" s="48" t="n"/>
      <c r="KK44" s="48" t="n"/>
      <c r="KL44" s="48" t="n"/>
      <c r="KM44" s="48" t="n"/>
      <c r="KN44" s="48" t="n"/>
      <c r="KO44" s="48" t="n"/>
      <c r="KP44" s="48" t="n"/>
      <c r="KQ44" s="48" t="n"/>
      <c r="KR44" s="48" t="n"/>
      <c r="KS44" s="48" t="n"/>
      <c r="KT44" s="48" t="n"/>
      <c r="KU44" s="48" t="n"/>
      <c r="KV44" s="48" t="n"/>
      <c r="KW44" s="48" t="n"/>
      <c r="KX44" s="48" t="n"/>
      <c r="KY44" s="48" t="n"/>
      <c r="KZ44" s="48" t="n"/>
      <c r="LA44" s="48" t="n"/>
      <c r="LB44" s="48" t="n"/>
      <c r="LC44" s="48" t="n"/>
    </row>
    <row r="45" ht="17" customHeight="1">
      <c r="A45" s="11" t="n">
        <v>37</v>
      </c>
      <c r="B45" s="11" t="inlineStr">
        <is>
          <t>ЮГ-3</t>
        </is>
      </c>
      <c r="C45" s="16">
        <f>'ЮГ-3'!B85</f>
        <v/>
      </c>
      <c r="D45" s="11">
        <f>'ЮГ-3'!C85</f>
        <v/>
      </c>
      <c r="E45" s="11">
        <f>'ЮГ-3'!D85</f>
        <v/>
      </c>
      <c r="F45" s="34">
        <f>'ЮГ-3'!J85</f>
        <v/>
      </c>
      <c r="G45" s="34">
        <f>'ЮГ-3'!G88</f>
        <v/>
      </c>
      <c r="H45" s="34">
        <f>'ЮГ-3'!K85</f>
        <v/>
      </c>
      <c r="I45" s="46">
        <f>'ЮГ-3'!H85</f>
        <v/>
      </c>
      <c r="J45" s="11">
        <f>'ЮГ-3'!L85</f>
        <v/>
      </c>
      <c r="K45" s="11">
        <f>'ЮГ-3'!M85</f>
        <v/>
      </c>
      <c r="L45" s="47">
        <f>'ЮГ-3'!N85</f>
        <v/>
      </c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  <c r="Y45" s="48" t="n"/>
      <c r="Z45" s="48" t="n"/>
      <c r="AA45" s="48" t="n"/>
      <c r="AB45" s="48" t="n"/>
      <c r="AC45" s="48" t="n"/>
      <c r="AD45" s="48" t="n"/>
      <c r="AE45" s="48" t="n"/>
      <c r="AF45" s="48" t="n"/>
      <c r="AG45" s="48" t="n"/>
      <c r="AH45" s="48" t="n"/>
      <c r="AI45" s="48" t="n"/>
      <c r="AJ45" s="48" t="n"/>
      <c r="AK45" s="48" t="n"/>
      <c r="AL45" s="48" t="n"/>
      <c r="AM45" s="48" t="n"/>
      <c r="AN45" s="48" t="n"/>
      <c r="AO45" s="48" t="n"/>
      <c r="AP45" s="48" t="n"/>
      <c r="AQ45" s="48" t="n"/>
      <c r="AR45" s="48" t="n"/>
      <c r="AS45" s="48" t="n"/>
      <c r="AT45" s="48" t="n"/>
      <c r="AU45" s="48" t="n"/>
      <c r="AV45" s="48" t="n"/>
      <c r="AW45" s="48" t="n"/>
      <c r="AX45" s="48" t="n"/>
      <c r="AY45" s="48" t="n"/>
      <c r="AZ45" s="48" t="n"/>
      <c r="BA45" s="48" t="n"/>
      <c r="BB45" s="48" t="n"/>
      <c r="BC45" s="48" t="n"/>
      <c r="BD45" s="48" t="n"/>
      <c r="BE45" s="48" t="n"/>
      <c r="BF45" s="48" t="n"/>
      <c r="BG45" s="48" t="n"/>
      <c r="BH45" s="48" t="n"/>
      <c r="BI45" s="48" t="n"/>
      <c r="BJ45" s="48" t="n"/>
      <c r="BK45" s="48" t="n"/>
      <c r="BL45" s="48" t="n"/>
      <c r="BM45" s="48" t="n"/>
      <c r="BN45" s="48" t="n"/>
      <c r="BO45" s="48" t="n"/>
      <c r="BP45" s="48" t="n"/>
      <c r="BQ45" s="48" t="n"/>
      <c r="BR45" s="48" t="n"/>
      <c r="BS45" s="48" t="n"/>
      <c r="BT45" s="48" t="n"/>
      <c r="BU45" s="48" t="n"/>
      <c r="BV45" s="48" t="n"/>
      <c r="BW45" s="48" t="n"/>
      <c r="BX45" s="48" t="n"/>
      <c r="BY45" s="48" t="n"/>
      <c r="BZ45" s="48" t="n"/>
      <c r="CA45" s="48" t="n"/>
      <c r="CB45" s="48" t="n"/>
      <c r="CC45" s="48" t="n"/>
      <c r="CD45" s="48" t="n"/>
      <c r="CE45" s="48" t="n"/>
      <c r="CF45" s="48" t="n"/>
      <c r="CG45" s="48" t="n"/>
      <c r="CH45" s="48" t="n"/>
      <c r="CI45" s="48" t="n"/>
      <c r="CJ45" s="48" t="n"/>
      <c r="CK45" s="48" t="n"/>
      <c r="CL45" s="48" t="n"/>
      <c r="CM45" s="48" t="n"/>
      <c r="CN45" s="48" t="n"/>
      <c r="CO45" s="48" t="n"/>
      <c r="CP45" s="48" t="n"/>
      <c r="CQ45" s="48" t="n"/>
      <c r="CR45" s="48" t="n"/>
      <c r="CS45" s="48" t="n"/>
      <c r="CT45" s="48" t="n"/>
      <c r="CU45" s="48" t="n"/>
      <c r="CV45" s="48" t="n"/>
      <c r="CW45" s="48" t="n"/>
      <c r="CX45" s="48" t="n"/>
      <c r="CY45" s="48" t="n"/>
      <c r="CZ45" s="48" t="n"/>
      <c r="DA45" s="48" t="n"/>
      <c r="DB45" s="48" t="n"/>
      <c r="DC45" s="48" t="n"/>
      <c r="DD45" s="48" t="n"/>
      <c r="DE45" s="48" t="n"/>
      <c r="DF45" s="48" t="n"/>
      <c r="DG45" s="48" t="n"/>
      <c r="DH45" s="48" t="n"/>
      <c r="DI45" s="48" t="n"/>
      <c r="DJ45" s="48" t="n"/>
      <c r="DK45" s="48" t="n"/>
      <c r="DL45" s="48" t="n"/>
      <c r="DM45" s="48" t="n"/>
      <c r="DN45" s="48" t="n"/>
      <c r="DO45" s="48" t="n"/>
      <c r="DP45" s="48" t="n"/>
      <c r="DQ45" s="48" t="n"/>
      <c r="DR45" s="48" t="n"/>
      <c r="DS45" s="48" t="n"/>
      <c r="DT45" s="48" t="n"/>
      <c r="DU45" s="48" t="n"/>
      <c r="DV45" s="48" t="n"/>
      <c r="DW45" s="48" t="n"/>
      <c r="DX45" s="48" t="n"/>
      <c r="DY45" s="48" t="n"/>
      <c r="DZ45" s="48" t="n"/>
      <c r="EA45" s="48" t="n"/>
      <c r="EB45" s="48" t="n"/>
      <c r="EC45" s="48" t="n"/>
      <c r="ED45" s="48" t="n"/>
      <c r="EE45" s="48" t="n"/>
      <c r="EF45" s="48" t="n"/>
      <c r="EG45" s="48" t="n"/>
      <c r="EH45" s="48" t="n"/>
      <c r="EI45" s="48" t="n"/>
      <c r="EJ45" s="48" t="n"/>
      <c r="EK45" s="48" t="n"/>
      <c r="EL45" s="48" t="n"/>
      <c r="EM45" s="48" t="n"/>
      <c r="EN45" s="48" t="n"/>
      <c r="EO45" s="48" t="n"/>
      <c r="EP45" s="48" t="n"/>
      <c r="EQ45" s="48" t="n"/>
      <c r="ER45" s="48" t="n"/>
      <c r="ES45" s="48" t="n"/>
      <c r="ET45" s="48" t="n"/>
      <c r="EU45" s="48" t="n"/>
      <c r="EV45" s="48" t="n"/>
      <c r="EW45" s="48" t="n"/>
      <c r="EX45" s="48" t="n"/>
      <c r="EY45" s="48" t="n"/>
      <c r="EZ45" s="48" t="n"/>
      <c r="FA45" s="48" t="n"/>
      <c r="FB45" s="48" t="n"/>
      <c r="FC45" s="48" t="n"/>
      <c r="FD45" s="48" t="n"/>
      <c r="FE45" s="48" t="n"/>
      <c r="FF45" s="48" t="n"/>
      <c r="FG45" s="48" t="n"/>
      <c r="FH45" s="48" t="n"/>
      <c r="FI45" s="48" t="n"/>
      <c r="FJ45" s="48" t="n"/>
      <c r="FK45" s="48" t="n"/>
      <c r="FL45" s="48" t="n"/>
      <c r="FM45" s="48" t="n"/>
      <c r="FN45" s="48" t="n"/>
      <c r="FO45" s="48" t="n"/>
      <c r="FP45" s="48" t="n"/>
      <c r="FQ45" s="48" t="n"/>
      <c r="FR45" s="48" t="n"/>
      <c r="FS45" s="48" t="n"/>
      <c r="FT45" s="48" t="n"/>
      <c r="FU45" s="48" t="n"/>
      <c r="FV45" s="48" t="n"/>
      <c r="FW45" s="48" t="n"/>
      <c r="FX45" s="48" t="n"/>
      <c r="FY45" s="48" t="n"/>
      <c r="FZ45" s="48" t="n"/>
      <c r="GA45" s="48" t="n"/>
      <c r="GB45" s="48" t="n"/>
      <c r="GC45" s="48" t="n"/>
      <c r="GD45" s="48" t="n"/>
      <c r="GE45" s="48" t="n"/>
      <c r="GF45" s="48" t="n"/>
      <c r="GG45" s="48" t="n"/>
      <c r="GH45" s="48" t="n"/>
      <c r="GI45" s="48" t="n"/>
      <c r="GJ45" s="48" t="n"/>
      <c r="GK45" s="48" t="n"/>
      <c r="GL45" s="48" t="n"/>
      <c r="GM45" s="48" t="n"/>
      <c r="GN45" s="48" t="n"/>
      <c r="GO45" s="48" t="n"/>
      <c r="GP45" s="48" t="n"/>
      <c r="GQ45" s="48" t="n"/>
      <c r="GR45" s="48" t="n"/>
      <c r="GS45" s="48" t="n"/>
      <c r="GT45" s="48" t="n"/>
      <c r="GU45" s="48" t="n"/>
      <c r="GV45" s="48" t="n"/>
      <c r="GW45" s="48" t="n"/>
      <c r="GX45" s="48" t="n"/>
      <c r="GY45" s="48" t="n"/>
      <c r="GZ45" s="48" t="n"/>
      <c r="HA45" s="48" t="n"/>
      <c r="HB45" s="48" t="n"/>
      <c r="HC45" s="48" t="n"/>
      <c r="HD45" s="48" t="n"/>
      <c r="HE45" s="48" t="n"/>
      <c r="HF45" s="48" t="n"/>
      <c r="HG45" s="48" t="n"/>
      <c r="HH45" s="48" t="n"/>
      <c r="HI45" s="48" t="n"/>
      <c r="HJ45" s="48" t="n"/>
      <c r="HK45" s="48" t="n"/>
      <c r="HL45" s="48" t="n"/>
      <c r="HM45" s="48" t="n"/>
      <c r="HN45" s="48" t="n"/>
      <c r="HO45" s="48" t="n"/>
      <c r="HP45" s="48" t="n"/>
      <c r="HQ45" s="48" t="n"/>
      <c r="HR45" s="48" t="n"/>
      <c r="HS45" s="48" t="n"/>
      <c r="HT45" s="48" t="n"/>
      <c r="HU45" s="48" t="n"/>
      <c r="HV45" s="48" t="n"/>
      <c r="HW45" s="48" t="n"/>
      <c r="HX45" s="48" t="n"/>
      <c r="HY45" s="48" t="n"/>
      <c r="HZ45" s="48" t="n"/>
      <c r="IA45" s="48" t="n"/>
      <c r="IB45" s="48" t="n"/>
      <c r="IC45" s="48" t="n"/>
      <c r="ID45" s="48" t="n"/>
      <c r="IE45" s="48" t="n"/>
      <c r="IF45" s="48" t="n"/>
      <c r="IG45" s="48" t="n"/>
      <c r="IH45" s="48" t="n"/>
      <c r="II45" s="48" t="n"/>
      <c r="IJ45" s="48" t="n"/>
      <c r="IK45" s="48" t="n"/>
      <c r="IL45" s="48" t="n"/>
      <c r="IM45" s="48" t="n"/>
      <c r="IN45" s="48" t="n"/>
      <c r="IO45" s="48" t="n"/>
      <c r="IP45" s="48" t="n"/>
      <c r="IQ45" s="48" t="n"/>
      <c r="IR45" s="48" t="n"/>
      <c r="IS45" s="48" t="n"/>
      <c r="IT45" s="48" t="n"/>
      <c r="IU45" s="48" t="n"/>
      <c r="IV45" s="48" t="n"/>
      <c r="IW45" s="48" t="n"/>
      <c r="IX45" s="48" t="n"/>
      <c r="IY45" s="48" t="n"/>
      <c r="IZ45" s="48" t="n"/>
      <c r="JA45" s="48" t="n"/>
      <c r="JB45" s="48" t="n"/>
      <c r="JC45" s="48" t="n"/>
      <c r="JD45" s="48" t="n"/>
      <c r="JE45" s="48" t="n"/>
      <c r="JF45" s="48" t="n"/>
      <c r="JG45" s="48" t="n"/>
      <c r="JH45" s="48" t="n"/>
      <c r="JI45" s="48" t="n"/>
      <c r="JJ45" s="48" t="n"/>
      <c r="JK45" s="48" t="n"/>
      <c r="JL45" s="48" t="n"/>
      <c r="JM45" s="48" t="n"/>
      <c r="JN45" s="48" t="n"/>
      <c r="JO45" s="48" t="n"/>
      <c r="JP45" s="48" t="n"/>
      <c r="JQ45" s="48" t="n"/>
      <c r="JR45" s="48" t="n"/>
      <c r="JS45" s="48" t="n"/>
      <c r="JT45" s="48" t="n"/>
      <c r="JU45" s="48" t="n"/>
      <c r="JV45" s="48" t="n"/>
      <c r="JW45" s="48" t="n"/>
      <c r="JX45" s="48" t="n"/>
      <c r="JY45" s="48" t="n"/>
      <c r="JZ45" s="48" t="n"/>
      <c r="KA45" s="48" t="n"/>
      <c r="KB45" s="48" t="n"/>
      <c r="KC45" s="48" t="n"/>
      <c r="KD45" s="48" t="n"/>
      <c r="KE45" s="48" t="n"/>
      <c r="KF45" s="48" t="n"/>
      <c r="KG45" s="48" t="n"/>
      <c r="KH45" s="48" t="n"/>
      <c r="KI45" s="48" t="n"/>
      <c r="KJ45" s="48" t="n"/>
      <c r="KK45" s="48" t="n"/>
      <c r="KL45" s="48" t="n"/>
      <c r="KM45" s="48" t="n"/>
      <c r="KN45" s="48" t="n"/>
      <c r="KO45" s="48" t="n"/>
      <c r="KP45" s="48" t="n"/>
      <c r="KQ45" s="48" t="n"/>
      <c r="KR45" s="48" t="n"/>
      <c r="KS45" s="48" t="n"/>
      <c r="KT45" s="48" t="n"/>
      <c r="KU45" s="48" t="n"/>
      <c r="KV45" s="48" t="n"/>
      <c r="KW45" s="48" t="n"/>
      <c r="KX45" s="48" t="n"/>
      <c r="KY45" s="48" t="n"/>
      <c r="KZ45" s="48" t="n"/>
      <c r="LA45" s="48" t="n"/>
      <c r="LB45" s="48" t="n"/>
      <c r="LC45" s="48" t="n"/>
    </row>
    <row r="46" ht="17" customHeight="1">
      <c r="A46" s="11" t="n">
        <v>38</v>
      </c>
      <c r="B46" s="11" t="inlineStr">
        <is>
          <t>ЮГ-3</t>
        </is>
      </c>
      <c r="C46" s="16">
        <f>'ЮГ-3'!B95</f>
        <v/>
      </c>
      <c r="D46" s="11">
        <f>'ЮГ-3'!C95</f>
        <v/>
      </c>
      <c r="E46" s="11">
        <f>'ЮГ-3'!D95</f>
        <v/>
      </c>
      <c r="F46" s="34">
        <f>'ЮГ-3'!J95</f>
        <v/>
      </c>
      <c r="G46" s="34">
        <f>'ЮГ-3'!G98</f>
        <v/>
      </c>
      <c r="H46" s="34">
        <f>'ЮГ-3'!K95</f>
        <v/>
      </c>
      <c r="I46" s="46">
        <f>'ЮГ-3'!H95</f>
        <v/>
      </c>
      <c r="J46" s="11">
        <f>'ЮГ-3'!L95</f>
        <v/>
      </c>
      <c r="K46" s="11">
        <f>'ЮГ-3'!M95</f>
        <v/>
      </c>
      <c r="L46" s="47">
        <f>'ЮГ-3'!N95</f>
        <v/>
      </c>
      <c r="M46" s="48" t="n"/>
      <c r="N46" s="48" t="n"/>
      <c r="O46" s="48" t="n"/>
      <c r="P46" s="48" t="n"/>
      <c r="Q46" s="48" t="n"/>
      <c r="R46" s="48" t="n"/>
      <c r="S46" s="48" t="n"/>
      <c r="T46" s="48" t="n"/>
      <c r="U46" s="48" t="n"/>
      <c r="V46" s="48" t="n"/>
      <c r="W46" s="48" t="n"/>
      <c r="X46" s="48" t="n"/>
      <c r="Y46" s="48" t="n"/>
      <c r="Z46" s="48" t="n"/>
      <c r="AA46" s="48" t="n"/>
      <c r="AB46" s="48" t="n"/>
      <c r="AC46" s="48" t="n"/>
      <c r="AD46" s="48" t="n"/>
      <c r="AE46" s="48" t="n"/>
      <c r="AF46" s="48" t="n"/>
      <c r="AG46" s="48" t="n"/>
      <c r="AH46" s="48" t="n"/>
      <c r="AI46" s="48" t="n"/>
      <c r="AJ46" s="48" t="n"/>
      <c r="AK46" s="48" t="n"/>
      <c r="AL46" s="48" t="n"/>
      <c r="AM46" s="48" t="n"/>
      <c r="AN46" s="48" t="n"/>
      <c r="AO46" s="48" t="n"/>
      <c r="AP46" s="48" t="n"/>
      <c r="AQ46" s="48" t="n"/>
      <c r="AR46" s="48" t="n"/>
      <c r="AS46" s="48" t="n"/>
      <c r="AT46" s="48" t="n"/>
      <c r="AU46" s="48" t="n"/>
      <c r="AV46" s="48" t="n"/>
      <c r="AW46" s="48" t="n"/>
      <c r="AX46" s="48" t="n"/>
      <c r="AY46" s="48" t="n"/>
      <c r="AZ46" s="48" t="n"/>
      <c r="BA46" s="48" t="n"/>
      <c r="BB46" s="48" t="n"/>
      <c r="BC46" s="48" t="n"/>
      <c r="BD46" s="48" t="n"/>
      <c r="BE46" s="48" t="n"/>
      <c r="BF46" s="48" t="n"/>
      <c r="BG46" s="48" t="n"/>
      <c r="BH46" s="48" t="n"/>
      <c r="BI46" s="48" t="n"/>
      <c r="BJ46" s="48" t="n"/>
      <c r="BK46" s="48" t="n"/>
      <c r="BL46" s="48" t="n"/>
      <c r="BM46" s="48" t="n"/>
      <c r="BN46" s="48" t="n"/>
      <c r="BO46" s="48" t="n"/>
      <c r="BP46" s="48" t="n"/>
      <c r="BQ46" s="48" t="n"/>
      <c r="BR46" s="48" t="n"/>
      <c r="BS46" s="48" t="n"/>
      <c r="BT46" s="48" t="n"/>
      <c r="BU46" s="48" t="n"/>
      <c r="BV46" s="48" t="n"/>
      <c r="BW46" s="48" t="n"/>
      <c r="BX46" s="48" t="n"/>
      <c r="BY46" s="48" t="n"/>
      <c r="BZ46" s="48" t="n"/>
      <c r="CA46" s="48" t="n"/>
      <c r="CB46" s="48" t="n"/>
      <c r="CC46" s="48" t="n"/>
      <c r="CD46" s="48" t="n"/>
      <c r="CE46" s="48" t="n"/>
      <c r="CF46" s="48" t="n"/>
      <c r="CG46" s="48" t="n"/>
      <c r="CH46" s="48" t="n"/>
      <c r="CI46" s="48" t="n"/>
      <c r="CJ46" s="48" t="n"/>
      <c r="CK46" s="48" t="n"/>
      <c r="CL46" s="48" t="n"/>
      <c r="CM46" s="48" t="n"/>
      <c r="CN46" s="48" t="n"/>
      <c r="CO46" s="48" t="n"/>
      <c r="CP46" s="48" t="n"/>
      <c r="CQ46" s="48" t="n"/>
      <c r="CR46" s="48" t="n"/>
      <c r="CS46" s="48" t="n"/>
      <c r="CT46" s="48" t="n"/>
      <c r="CU46" s="48" t="n"/>
      <c r="CV46" s="48" t="n"/>
      <c r="CW46" s="48" t="n"/>
      <c r="CX46" s="48" t="n"/>
      <c r="CY46" s="48" t="n"/>
      <c r="CZ46" s="48" t="n"/>
      <c r="DA46" s="48" t="n"/>
      <c r="DB46" s="48" t="n"/>
      <c r="DC46" s="48" t="n"/>
      <c r="DD46" s="48" t="n"/>
      <c r="DE46" s="48" t="n"/>
      <c r="DF46" s="48" t="n"/>
      <c r="DG46" s="48" t="n"/>
      <c r="DH46" s="48" t="n"/>
      <c r="DI46" s="48" t="n"/>
      <c r="DJ46" s="48" t="n"/>
      <c r="DK46" s="48" t="n"/>
      <c r="DL46" s="48" t="n"/>
      <c r="DM46" s="48" t="n"/>
      <c r="DN46" s="48" t="n"/>
      <c r="DO46" s="48" t="n"/>
      <c r="DP46" s="48" t="n"/>
      <c r="DQ46" s="48" t="n"/>
      <c r="DR46" s="48" t="n"/>
      <c r="DS46" s="48" t="n"/>
      <c r="DT46" s="48" t="n"/>
      <c r="DU46" s="48" t="n"/>
      <c r="DV46" s="48" t="n"/>
      <c r="DW46" s="48" t="n"/>
      <c r="DX46" s="48" t="n"/>
      <c r="DY46" s="48" t="n"/>
      <c r="DZ46" s="48" t="n"/>
      <c r="EA46" s="48" t="n"/>
      <c r="EB46" s="48" t="n"/>
      <c r="EC46" s="48" t="n"/>
      <c r="ED46" s="48" t="n"/>
      <c r="EE46" s="48" t="n"/>
      <c r="EF46" s="48" t="n"/>
      <c r="EG46" s="48" t="n"/>
      <c r="EH46" s="48" t="n"/>
      <c r="EI46" s="48" t="n"/>
      <c r="EJ46" s="48" t="n"/>
      <c r="EK46" s="48" t="n"/>
      <c r="EL46" s="48" t="n"/>
      <c r="EM46" s="48" t="n"/>
      <c r="EN46" s="48" t="n"/>
      <c r="EO46" s="48" t="n"/>
      <c r="EP46" s="48" t="n"/>
      <c r="EQ46" s="48" t="n"/>
      <c r="ER46" s="48" t="n"/>
      <c r="ES46" s="48" t="n"/>
      <c r="ET46" s="48" t="n"/>
      <c r="EU46" s="48" t="n"/>
      <c r="EV46" s="48" t="n"/>
      <c r="EW46" s="48" t="n"/>
      <c r="EX46" s="48" t="n"/>
      <c r="EY46" s="48" t="n"/>
      <c r="EZ46" s="48" t="n"/>
      <c r="FA46" s="48" t="n"/>
      <c r="FB46" s="48" t="n"/>
      <c r="FC46" s="48" t="n"/>
      <c r="FD46" s="48" t="n"/>
      <c r="FE46" s="48" t="n"/>
      <c r="FF46" s="48" t="n"/>
      <c r="FG46" s="48" t="n"/>
      <c r="FH46" s="48" t="n"/>
      <c r="FI46" s="48" t="n"/>
      <c r="FJ46" s="48" t="n"/>
      <c r="FK46" s="48" t="n"/>
      <c r="FL46" s="48" t="n"/>
      <c r="FM46" s="48" t="n"/>
      <c r="FN46" s="48" t="n"/>
      <c r="FO46" s="48" t="n"/>
      <c r="FP46" s="48" t="n"/>
      <c r="FQ46" s="48" t="n"/>
      <c r="FR46" s="48" t="n"/>
      <c r="FS46" s="48" t="n"/>
      <c r="FT46" s="48" t="n"/>
      <c r="FU46" s="48" t="n"/>
      <c r="FV46" s="48" t="n"/>
      <c r="FW46" s="48" t="n"/>
      <c r="FX46" s="48" t="n"/>
      <c r="FY46" s="48" t="n"/>
      <c r="FZ46" s="48" t="n"/>
      <c r="GA46" s="48" t="n"/>
      <c r="GB46" s="48" t="n"/>
      <c r="GC46" s="48" t="n"/>
      <c r="GD46" s="48" t="n"/>
      <c r="GE46" s="48" t="n"/>
      <c r="GF46" s="48" t="n"/>
      <c r="GG46" s="48" t="n"/>
      <c r="GH46" s="48" t="n"/>
      <c r="GI46" s="48" t="n"/>
      <c r="GJ46" s="48" t="n"/>
      <c r="GK46" s="48" t="n"/>
      <c r="GL46" s="48" t="n"/>
      <c r="GM46" s="48" t="n"/>
      <c r="GN46" s="48" t="n"/>
      <c r="GO46" s="48" t="n"/>
      <c r="GP46" s="48" t="n"/>
      <c r="GQ46" s="48" t="n"/>
      <c r="GR46" s="48" t="n"/>
      <c r="GS46" s="48" t="n"/>
      <c r="GT46" s="48" t="n"/>
      <c r="GU46" s="48" t="n"/>
      <c r="GV46" s="48" t="n"/>
      <c r="GW46" s="48" t="n"/>
      <c r="GX46" s="48" t="n"/>
      <c r="GY46" s="48" t="n"/>
      <c r="GZ46" s="48" t="n"/>
      <c r="HA46" s="48" t="n"/>
      <c r="HB46" s="48" t="n"/>
      <c r="HC46" s="48" t="n"/>
      <c r="HD46" s="48" t="n"/>
      <c r="HE46" s="48" t="n"/>
      <c r="HF46" s="48" t="n"/>
      <c r="HG46" s="48" t="n"/>
      <c r="HH46" s="48" t="n"/>
      <c r="HI46" s="48" t="n"/>
      <c r="HJ46" s="48" t="n"/>
      <c r="HK46" s="48" t="n"/>
      <c r="HL46" s="48" t="n"/>
      <c r="HM46" s="48" t="n"/>
      <c r="HN46" s="48" t="n"/>
      <c r="HO46" s="48" t="n"/>
      <c r="HP46" s="48" t="n"/>
      <c r="HQ46" s="48" t="n"/>
      <c r="HR46" s="48" t="n"/>
      <c r="HS46" s="48" t="n"/>
      <c r="HT46" s="48" t="n"/>
      <c r="HU46" s="48" t="n"/>
      <c r="HV46" s="48" t="n"/>
      <c r="HW46" s="48" t="n"/>
      <c r="HX46" s="48" t="n"/>
      <c r="HY46" s="48" t="n"/>
      <c r="HZ46" s="48" t="n"/>
      <c r="IA46" s="48" t="n"/>
      <c r="IB46" s="48" t="n"/>
      <c r="IC46" s="48" t="n"/>
      <c r="ID46" s="48" t="n"/>
      <c r="IE46" s="48" t="n"/>
      <c r="IF46" s="48" t="n"/>
      <c r="IG46" s="48" t="n"/>
      <c r="IH46" s="48" t="n"/>
      <c r="II46" s="48" t="n"/>
      <c r="IJ46" s="48" t="n"/>
      <c r="IK46" s="48" t="n"/>
      <c r="IL46" s="48" t="n"/>
      <c r="IM46" s="48" t="n"/>
      <c r="IN46" s="48" t="n"/>
      <c r="IO46" s="48" t="n"/>
      <c r="IP46" s="48" t="n"/>
      <c r="IQ46" s="48" t="n"/>
      <c r="IR46" s="48" t="n"/>
      <c r="IS46" s="48" t="n"/>
      <c r="IT46" s="48" t="n"/>
      <c r="IU46" s="48" t="n"/>
      <c r="IV46" s="48" t="n"/>
      <c r="IW46" s="48" t="n"/>
      <c r="IX46" s="48" t="n"/>
      <c r="IY46" s="48" t="n"/>
      <c r="IZ46" s="48" t="n"/>
      <c r="JA46" s="48" t="n"/>
      <c r="JB46" s="48" t="n"/>
      <c r="JC46" s="48" t="n"/>
      <c r="JD46" s="48" t="n"/>
      <c r="JE46" s="48" t="n"/>
      <c r="JF46" s="48" t="n"/>
      <c r="JG46" s="48" t="n"/>
      <c r="JH46" s="48" t="n"/>
      <c r="JI46" s="48" t="n"/>
      <c r="JJ46" s="48" t="n"/>
      <c r="JK46" s="48" t="n"/>
      <c r="JL46" s="48" t="n"/>
      <c r="JM46" s="48" t="n"/>
      <c r="JN46" s="48" t="n"/>
      <c r="JO46" s="48" t="n"/>
      <c r="JP46" s="48" t="n"/>
      <c r="JQ46" s="48" t="n"/>
      <c r="JR46" s="48" t="n"/>
      <c r="JS46" s="48" t="n"/>
      <c r="JT46" s="48" t="n"/>
      <c r="JU46" s="48" t="n"/>
      <c r="JV46" s="48" t="n"/>
      <c r="JW46" s="48" t="n"/>
      <c r="JX46" s="48" t="n"/>
      <c r="JY46" s="48" t="n"/>
      <c r="JZ46" s="48" t="n"/>
      <c r="KA46" s="48" t="n"/>
      <c r="KB46" s="48" t="n"/>
      <c r="KC46" s="48" t="n"/>
      <c r="KD46" s="48" t="n"/>
      <c r="KE46" s="48" t="n"/>
      <c r="KF46" s="48" t="n"/>
      <c r="KG46" s="48" t="n"/>
      <c r="KH46" s="48" t="n"/>
      <c r="KI46" s="48" t="n"/>
      <c r="KJ46" s="48" t="n"/>
      <c r="KK46" s="48" t="n"/>
      <c r="KL46" s="48" t="n"/>
      <c r="KM46" s="48" t="n"/>
      <c r="KN46" s="48" t="n"/>
      <c r="KO46" s="48" t="n"/>
      <c r="KP46" s="48" t="n"/>
      <c r="KQ46" s="48" t="n"/>
      <c r="KR46" s="48" t="n"/>
      <c r="KS46" s="48" t="n"/>
      <c r="KT46" s="48" t="n"/>
      <c r="KU46" s="48" t="n"/>
      <c r="KV46" s="48" t="n"/>
      <c r="KW46" s="48" t="n"/>
      <c r="KX46" s="48" t="n"/>
      <c r="KY46" s="48" t="n"/>
      <c r="KZ46" s="48" t="n"/>
      <c r="LA46" s="48" t="n"/>
      <c r="LB46" s="48" t="n"/>
      <c r="LC46" s="48" t="n"/>
    </row>
    <row r="47" ht="17" customHeight="1">
      <c r="A47" s="11" t="n">
        <v>39</v>
      </c>
      <c r="B47" s="11" t="inlineStr">
        <is>
          <t>ЮГ-3</t>
        </is>
      </c>
      <c r="C47" s="16">
        <f>'ЮГ-3'!B105</f>
        <v/>
      </c>
      <c r="D47" s="11">
        <f>'ЮГ-3'!C105</f>
        <v/>
      </c>
      <c r="E47" s="11">
        <f>'ЮГ-3'!D105</f>
        <v/>
      </c>
      <c r="F47" s="34">
        <f>'ЮГ-3'!J105</f>
        <v/>
      </c>
      <c r="G47" s="34">
        <f>'ЮГ-3'!G108</f>
        <v/>
      </c>
      <c r="H47" s="34">
        <f>'ЮГ-3'!K105</f>
        <v/>
      </c>
      <c r="I47" s="46">
        <f>'ЮГ-3'!H105</f>
        <v/>
      </c>
      <c r="J47" s="11">
        <f>'ЮГ-3'!L105</f>
        <v/>
      </c>
      <c r="K47" s="11">
        <f>'ЮГ-3'!M105</f>
        <v/>
      </c>
      <c r="L47" s="47">
        <f>'ЮГ-3'!N105</f>
        <v/>
      </c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  <c r="AA47" s="48" t="n"/>
      <c r="AB47" s="48" t="n"/>
      <c r="AC47" s="48" t="n"/>
      <c r="AD47" s="48" t="n"/>
      <c r="AE47" s="48" t="n"/>
      <c r="AF47" s="48" t="n"/>
      <c r="AG47" s="48" t="n"/>
      <c r="AH47" s="48" t="n"/>
      <c r="AI47" s="48" t="n"/>
      <c r="AJ47" s="48" t="n"/>
      <c r="AK47" s="48" t="n"/>
      <c r="AL47" s="48" t="n"/>
      <c r="AM47" s="48" t="n"/>
      <c r="AN47" s="48" t="n"/>
      <c r="AO47" s="48" t="n"/>
      <c r="AP47" s="48" t="n"/>
      <c r="AQ47" s="48" t="n"/>
      <c r="AR47" s="48" t="n"/>
      <c r="AS47" s="48" t="n"/>
      <c r="AT47" s="48" t="n"/>
      <c r="AU47" s="48" t="n"/>
      <c r="AV47" s="48" t="n"/>
      <c r="AW47" s="48" t="n"/>
      <c r="AX47" s="48" t="n"/>
      <c r="AY47" s="48" t="n"/>
      <c r="AZ47" s="48" t="n"/>
      <c r="BA47" s="48" t="n"/>
      <c r="BB47" s="48" t="n"/>
      <c r="BC47" s="48" t="n"/>
      <c r="BD47" s="48" t="n"/>
      <c r="BE47" s="48" t="n"/>
      <c r="BF47" s="48" t="n"/>
      <c r="BG47" s="48" t="n"/>
      <c r="BH47" s="48" t="n"/>
      <c r="BI47" s="48" t="n"/>
      <c r="BJ47" s="48" t="n"/>
      <c r="BK47" s="48" t="n"/>
      <c r="BL47" s="48" t="n"/>
      <c r="BM47" s="48" t="n"/>
      <c r="BN47" s="48" t="n"/>
      <c r="BO47" s="48" t="n"/>
      <c r="BP47" s="48" t="n"/>
      <c r="BQ47" s="48" t="n"/>
      <c r="BR47" s="48" t="n"/>
      <c r="BS47" s="48" t="n"/>
      <c r="BT47" s="48" t="n"/>
      <c r="BU47" s="48" t="n"/>
      <c r="BV47" s="48" t="n"/>
      <c r="BW47" s="48" t="n"/>
      <c r="BX47" s="48" t="n"/>
      <c r="BY47" s="48" t="n"/>
      <c r="BZ47" s="48" t="n"/>
      <c r="CA47" s="48" t="n"/>
      <c r="CB47" s="48" t="n"/>
      <c r="CC47" s="48" t="n"/>
      <c r="CD47" s="48" t="n"/>
      <c r="CE47" s="48" t="n"/>
      <c r="CF47" s="48" t="n"/>
      <c r="CG47" s="48" t="n"/>
      <c r="CH47" s="48" t="n"/>
      <c r="CI47" s="48" t="n"/>
      <c r="CJ47" s="48" t="n"/>
      <c r="CK47" s="48" t="n"/>
      <c r="CL47" s="48" t="n"/>
      <c r="CM47" s="48" t="n"/>
      <c r="CN47" s="48" t="n"/>
      <c r="CO47" s="48" t="n"/>
      <c r="CP47" s="48" t="n"/>
      <c r="CQ47" s="48" t="n"/>
      <c r="CR47" s="48" t="n"/>
      <c r="CS47" s="48" t="n"/>
      <c r="CT47" s="48" t="n"/>
      <c r="CU47" s="48" t="n"/>
      <c r="CV47" s="48" t="n"/>
      <c r="CW47" s="48" t="n"/>
      <c r="CX47" s="48" t="n"/>
      <c r="CY47" s="48" t="n"/>
      <c r="CZ47" s="48" t="n"/>
      <c r="DA47" s="48" t="n"/>
      <c r="DB47" s="48" t="n"/>
      <c r="DC47" s="48" t="n"/>
      <c r="DD47" s="48" t="n"/>
      <c r="DE47" s="48" t="n"/>
      <c r="DF47" s="48" t="n"/>
      <c r="DG47" s="48" t="n"/>
      <c r="DH47" s="48" t="n"/>
      <c r="DI47" s="48" t="n"/>
      <c r="DJ47" s="48" t="n"/>
      <c r="DK47" s="48" t="n"/>
      <c r="DL47" s="48" t="n"/>
      <c r="DM47" s="48" t="n"/>
      <c r="DN47" s="48" t="n"/>
      <c r="DO47" s="48" t="n"/>
      <c r="DP47" s="48" t="n"/>
      <c r="DQ47" s="48" t="n"/>
      <c r="DR47" s="48" t="n"/>
      <c r="DS47" s="48" t="n"/>
      <c r="DT47" s="48" t="n"/>
      <c r="DU47" s="48" t="n"/>
      <c r="DV47" s="48" t="n"/>
      <c r="DW47" s="48" t="n"/>
      <c r="DX47" s="48" t="n"/>
      <c r="DY47" s="48" t="n"/>
      <c r="DZ47" s="48" t="n"/>
      <c r="EA47" s="48" t="n"/>
      <c r="EB47" s="48" t="n"/>
      <c r="EC47" s="48" t="n"/>
      <c r="ED47" s="48" t="n"/>
      <c r="EE47" s="48" t="n"/>
      <c r="EF47" s="48" t="n"/>
      <c r="EG47" s="48" t="n"/>
      <c r="EH47" s="48" t="n"/>
      <c r="EI47" s="48" t="n"/>
      <c r="EJ47" s="48" t="n"/>
      <c r="EK47" s="48" t="n"/>
      <c r="EL47" s="48" t="n"/>
      <c r="EM47" s="48" t="n"/>
      <c r="EN47" s="48" t="n"/>
      <c r="EO47" s="48" t="n"/>
      <c r="EP47" s="48" t="n"/>
      <c r="EQ47" s="48" t="n"/>
      <c r="ER47" s="48" t="n"/>
      <c r="ES47" s="48" t="n"/>
      <c r="ET47" s="48" t="n"/>
      <c r="EU47" s="48" t="n"/>
      <c r="EV47" s="48" t="n"/>
      <c r="EW47" s="48" t="n"/>
      <c r="EX47" s="48" t="n"/>
      <c r="EY47" s="48" t="n"/>
      <c r="EZ47" s="48" t="n"/>
      <c r="FA47" s="48" t="n"/>
      <c r="FB47" s="48" t="n"/>
      <c r="FC47" s="48" t="n"/>
      <c r="FD47" s="48" t="n"/>
      <c r="FE47" s="48" t="n"/>
      <c r="FF47" s="48" t="n"/>
      <c r="FG47" s="48" t="n"/>
      <c r="FH47" s="48" t="n"/>
      <c r="FI47" s="48" t="n"/>
      <c r="FJ47" s="48" t="n"/>
      <c r="FK47" s="48" t="n"/>
      <c r="FL47" s="48" t="n"/>
      <c r="FM47" s="48" t="n"/>
      <c r="FN47" s="48" t="n"/>
      <c r="FO47" s="48" t="n"/>
      <c r="FP47" s="48" t="n"/>
      <c r="FQ47" s="48" t="n"/>
      <c r="FR47" s="48" t="n"/>
      <c r="FS47" s="48" t="n"/>
      <c r="FT47" s="48" t="n"/>
      <c r="FU47" s="48" t="n"/>
      <c r="FV47" s="48" t="n"/>
      <c r="FW47" s="48" t="n"/>
      <c r="FX47" s="48" t="n"/>
      <c r="FY47" s="48" t="n"/>
      <c r="FZ47" s="48" t="n"/>
      <c r="GA47" s="48" t="n"/>
      <c r="GB47" s="48" t="n"/>
      <c r="GC47" s="48" t="n"/>
      <c r="GD47" s="48" t="n"/>
      <c r="GE47" s="48" t="n"/>
      <c r="GF47" s="48" t="n"/>
      <c r="GG47" s="48" t="n"/>
      <c r="GH47" s="48" t="n"/>
      <c r="GI47" s="48" t="n"/>
      <c r="GJ47" s="48" t="n"/>
      <c r="GK47" s="48" t="n"/>
      <c r="GL47" s="48" t="n"/>
      <c r="GM47" s="48" t="n"/>
      <c r="GN47" s="48" t="n"/>
      <c r="GO47" s="48" t="n"/>
      <c r="GP47" s="48" t="n"/>
      <c r="GQ47" s="48" t="n"/>
      <c r="GR47" s="48" t="n"/>
      <c r="GS47" s="48" t="n"/>
      <c r="GT47" s="48" t="n"/>
      <c r="GU47" s="48" t="n"/>
      <c r="GV47" s="48" t="n"/>
      <c r="GW47" s="48" t="n"/>
      <c r="GX47" s="48" t="n"/>
      <c r="GY47" s="48" t="n"/>
      <c r="GZ47" s="48" t="n"/>
      <c r="HA47" s="48" t="n"/>
      <c r="HB47" s="48" t="n"/>
      <c r="HC47" s="48" t="n"/>
      <c r="HD47" s="48" t="n"/>
      <c r="HE47" s="48" t="n"/>
      <c r="HF47" s="48" t="n"/>
      <c r="HG47" s="48" t="n"/>
      <c r="HH47" s="48" t="n"/>
      <c r="HI47" s="48" t="n"/>
      <c r="HJ47" s="48" t="n"/>
      <c r="HK47" s="48" t="n"/>
      <c r="HL47" s="48" t="n"/>
      <c r="HM47" s="48" t="n"/>
      <c r="HN47" s="48" t="n"/>
      <c r="HO47" s="48" t="n"/>
      <c r="HP47" s="48" t="n"/>
      <c r="HQ47" s="48" t="n"/>
      <c r="HR47" s="48" t="n"/>
      <c r="HS47" s="48" t="n"/>
      <c r="HT47" s="48" t="n"/>
      <c r="HU47" s="48" t="n"/>
      <c r="HV47" s="48" t="n"/>
      <c r="HW47" s="48" t="n"/>
      <c r="HX47" s="48" t="n"/>
      <c r="HY47" s="48" t="n"/>
      <c r="HZ47" s="48" t="n"/>
      <c r="IA47" s="48" t="n"/>
      <c r="IB47" s="48" t="n"/>
      <c r="IC47" s="48" t="n"/>
      <c r="ID47" s="48" t="n"/>
      <c r="IE47" s="48" t="n"/>
      <c r="IF47" s="48" t="n"/>
      <c r="IG47" s="48" t="n"/>
      <c r="IH47" s="48" t="n"/>
      <c r="II47" s="48" t="n"/>
      <c r="IJ47" s="48" t="n"/>
      <c r="IK47" s="48" t="n"/>
      <c r="IL47" s="48" t="n"/>
      <c r="IM47" s="48" t="n"/>
      <c r="IN47" s="48" t="n"/>
      <c r="IO47" s="48" t="n"/>
      <c r="IP47" s="48" t="n"/>
      <c r="IQ47" s="48" t="n"/>
      <c r="IR47" s="48" t="n"/>
      <c r="IS47" s="48" t="n"/>
      <c r="IT47" s="48" t="n"/>
      <c r="IU47" s="48" t="n"/>
      <c r="IV47" s="48" t="n"/>
      <c r="IW47" s="48" t="n"/>
      <c r="IX47" s="48" t="n"/>
      <c r="IY47" s="48" t="n"/>
      <c r="IZ47" s="48" t="n"/>
      <c r="JA47" s="48" t="n"/>
      <c r="JB47" s="48" t="n"/>
      <c r="JC47" s="48" t="n"/>
      <c r="JD47" s="48" t="n"/>
      <c r="JE47" s="48" t="n"/>
      <c r="JF47" s="48" t="n"/>
      <c r="JG47" s="48" t="n"/>
      <c r="JH47" s="48" t="n"/>
      <c r="JI47" s="48" t="n"/>
      <c r="JJ47" s="48" t="n"/>
      <c r="JK47" s="48" t="n"/>
      <c r="JL47" s="48" t="n"/>
      <c r="JM47" s="48" t="n"/>
      <c r="JN47" s="48" t="n"/>
      <c r="JO47" s="48" t="n"/>
      <c r="JP47" s="48" t="n"/>
      <c r="JQ47" s="48" t="n"/>
      <c r="JR47" s="48" t="n"/>
      <c r="JS47" s="48" t="n"/>
      <c r="JT47" s="48" t="n"/>
      <c r="JU47" s="48" t="n"/>
      <c r="JV47" s="48" t="n"/>
      <c r="JW47" s="48" t="n"/>
      <c r="JX47" s="48" t="n"/>
      <c r="JY47" s="48" t="n"/>
      <c r="JZ47" s="48" t="n"/>
      <c r="KA47" s="48" t="n"/>
      <c r="KB47" s="48" t="n"/>
      <c r="KC47" s="48" t="n"/>
      <c r="KD47" s="48" t="n"/>
      <c r="KE47" s="48" t="n"/>
      <c r="KF47" s="48" t="n"/>
      <c r="KG47" s="48" t="n"/>
      <c r="KH47" s="48" t="n"/>
      <c r="KI47" s="48" t="n"/>
      <c r="KJ47" s="48" t="n"/>
      <c r="KK47" s="48" t="n"/>
      <c r="KL47" s="48" t="n"/>
      <c r="KM47" s="48" t="n"/>
      <c r="KN47" s="48" t="n"/>
      <c r="KO47" s="48" t="n"/>
      <c r="KP47" s="48" t="n"/>
      <c r="KQ47" s="48" t="n"/>
      <c r="KR47" s="48" t="n"/>
      <c r="KS47" s="48" t="n"/>
      <c r="KT47" s="48" t="n"/>
      <c r="KU47" s="48" t="n"/>
      <c r="KV47" s="48" t="n"/>
      <c r="KW47" s="48" t="n"/>
      <c r="KX47" s="48" t="n"/>
      <c r="KY47" s="48" t="n"/>
      <c r="KZ47" s="48" t="n"/>
      <c r="LA47" s="48" t="n"/>
      <c r="LB47" s="48" t="n"/>
      <c r="LC47" s="48" t="n"/>
    </row>
    <row r="48" ht="17" customHeight="1">
      <c r="A48" s="11" t="n">
        <v>40</v>
      </c>
      <c r="B48" s="11" t="inlineStr">
        <is>
          <t>ЮГ-3</t>
        </is>
      </c>
      <c r="C48" s="16">
        <f>'ЮГ-3'!B115</f>
        <v/>
      </c>
      <c r="D48" s="11">
        <f>'ЮГ-3'!C115</f>
        <v/>
      </c>
      <c r="E48" s="11">
        <f>'ЮГ-3'!D115</f>
        <v/>
      </c>
      <c r="F48" s="34">
        <f>'ЮГ-3'!J115</f>
        <v/>
      </c>
      <c r="G48" s="34">
        <f>'ЮГ-3'!G118</f>
        <v/>
      </c>
      <c r="H48" s="34">
        <f>'ЮГ-3'!K115</f>
        <v/>
      </c>
      <c r="I48" s="46">
        <f>'ЮГ-3'!H115</f>
        <v/>
      </c>
      <c r="J48" s="11">
        <f>'ЮГ-3'!L115</f>
        <v/>
      </c>
      <c r="K48" s="11">
        <f>'ЮГ-3'!M115</f>
        <v/>
      </c>
      <c r="L48" s="47">
        <f>'ЮГ-3'!N115</f>
        <v/>
      </c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  <c r="AH48" s="48" t="n"/>
      <c r="AI48" s="48" t="n"/>
      <c r="AJ48" s="48" t="n"/>
      <c r="AK48" s="48" t="n"/>
      <c r="AL48" s="48" t="n"/>
      <c r="AM48" s="48" t="n"/>
      <c r="AN48" s="48" t="n"/>
      <c r="AO48" s="48" t="n"/>
      <c r="AP48" s="48" t="n"/>
      <c r="AQ48" s="48" t="n"/>
      <c r="AR48" s="48" t="n"/>
      <c r="AS48" s="48" t="n"/>
      <c r="AT48" s="48" t="n"/>
      <c r="AU48" s="48" t="n"/>
      <c r="AV48" s="48" t="n"/>
      <c r="AW48" s="48" t="n"/>
      <c r="AX48" s="48" t="n"/>
      <c r="AY48" s="48" t="n"/>
      <c r="AZ48" s="48" t="n"/>
      <c r="BA48" s="48" t="n"/>
      <c r="BB48" s="48" t="n"/>
      <c r="BC48" s="48" t="n"/>
      <c r="BD48" s="48" t="n"/>
      <c r="BE48" s="48" t="n"/>
      <c r="BF48" s="48" t="n"/>
      <c r="BG48" s="48" t="n"/>
      <c r="BH48" s="48" t="n"/>
      <c r="BI48" s="48" t="n"/>
      <c r="BJ48" s="48" t="n"/>
      <c r="BK48" s="48" t="n"/>
      <c r="BL48" s="48" t="n"/>
      <c r="BM48" s="48" t="n"/>
      <c r="BN48" s="48" t="n"/>
      <c r="BO48" s="48" t="n"/>
      <c r="BP48" s="48" t="n"/>
      <c r="BQ48" s="48" t="n"/>
      <c r="BR48" s="48" t="n"/>
      <c r="BS48" s="48" t="n"/>
      <c r="BT48" s="48" t="n"/>
      <c r="BU48" s="48" t="n"/>
      <c r="BV48" s="48" t="n"/>
      <c r="BW48" s="48" t="n"/>
      <c r="BX48" s="48" t="n"/>
      <c r="BY48" s="48" t="n"/>
      <c r="BZ48" s="48" t="n"/>
      <c r="CA48" s="48" t="n"/>
      <c r="CB48" s="48" t="n"/>
      <c r="CC48" s="48" t="n"/>
      <c r="CD48" s="48" t="n"/>
      <c r="CE48" s="48" t="n"/>
      <c r="CF48" s="48" t="n"/>
      <c r="CG48" s="48" t="n"/>
      <c r="CH48" s="48" t="n"/>
      <c r="CI48" s="48" t="n"/>
      <c r="CJ48" s="48" t="n"/>
      <c r="CK48" s="48" t="n"/>
      <c r="CL48" s="48" t="n"/>
      <c r="CM48" s="48" t="n"/>
      <c r="CN48" s="48" t="n"/>
      <c r="CO48" s="48" t="n"/>
      <c r="CP48" s="48" t="n"/>
      <c r="CQ48" s="48" t="n"/>
      <c r="CR48" s="48" t="n"/>
      <c r="CS48" s="48" t="n"/>
      <c r="CT48" s="48" t="n"/>
      <c r="CU48" s="48" t="n"/>
      <c r="CV48" s="48" t="n"/>
      <c r="CW48" s="48" t="n"/>
      <c r="CX48" s="48" t="n"/>
      <c r="CY48" s="48" t="n"/>
      <c r="CZ48" s="48" t="n"/>
      <c r="DA48" s="48" t="n"/>
      <c r="DB48" s="48" t="n"/>
      <c r="DC48" s="48" t="n"/>
      <c r="DD48" s="48" t="n"/>
      <c r="DE48" s="48" t="n"/>
      <c r="DF48" s="48" t="n"/>
      <c r="DG48" s="48" t="n"/>
      <c r="DH48" s="48" t="n"/>
      <c r="DI48" s="48" t="n"/>
      <c r="DJ48" s="48" t="n"/>
      <c r="DK48" s="48" t="n"/>
      <c r="DL48" s="48" t="n"/>
      <c r="DM48" s="48" t="n"/>
      <c r="DN48" s="48" t="n"/>
      <c r="DO48" s="48" t="n"/>
      <c r="DP48" s="48" t="n"/>
      <c r="DQ48" s="48" t="n"/>
      <c r="DR48" s="48" t="n"/>
      <c r="DS48" s="48" t="n"/>
      <c r="DT48" s="48" t="n"/>
      <c r="DU48" s="48" t="n"/>
      <c r="DV48" s="48" t="n"/>
      <c r="DW48" s="48" t="n"/>
      <c r="DX48" s="48" t="n"/>
      <c r="DY48" s="48" t="n"/>
      <c r="DZ48" s="48" t="n"/>
      <c r="EA48" s="48" t="n"/>
      <c r="EB48" s="48" t="n"/>
      <c r="EC48" s="48" t="n"/>
      <c r="ED48" s="48" t="n"/>
      <c r="EE48" s="48" t="n"/>
      <c r="EF48" s="48" t="n"/>
      <c r="EG48" s="48" t="n"/>
      <c r="EH48" s="48" t="n"/>
      <c r="EI48" s="48" t="n"/>
      <c r="EJ48" s="48" t="n"/>
      <c r="EK48" s="48" t="n"/>
      <c r="EL48" s="48" t="n"/>
      <c r="EM48" s="48" t="n"/>
      <c r="EN48" s="48" t="n"/>
      <c r="EO48" s="48" t="n"/>
      <c r="EP48" s="48" t="n"/>
      <c r="EQ48" s="48" t="n"/>
      <c r="ER48" s="48" t="n"/>
      <c r="ES48" s="48" t="n"/>
      <c r="ET48" s="48" t="n"/>
      <c r="EU48" s="48" t="n"/>
      <c r="EV48" s="48" t="n"/>
      <c r="EW48" s="48" t="n"/>
      <c r="EX48" s="48" t="n"/>
      <c r="EY48" s="48" t="n"/>
      <c r="EZ48" s="48" t="n"/>
      <c r="FA48" s="48" t="n"/>
      <c r="FB48" s="48" t="n"/>
      <c r="FC48" s="48" t="n"/>
      <c r="FD48" s="48" t="n"/>
      <c r="FE48" s="48" t="n"/>
      <c r="FF48" s="48" t="n"/>
      <c r="FG48" s="48" t="n"/>
      <c r="FH48" s="48" t="n"/>
      <c r="FI48" s="48" t="n"/>
      <c r="FJ48" s="48" t="n"/>
      <c r="FK48" s="48" t="n"/>
      <c r="FL48" s="48" t="n"/>
      <c r="FM48" s="48" t="n"/>
      <c r="FN48" s="48" t="n"/>
      <c r="FO48" s="48" t="n"/>
      <c r="FP48" s="48" t="n"/>
      <c r="FQ48" s="48" t="n"/>
      <c r="FR48" s="48" t="n"/>
      <c r="FS48" s="48" t="n"/>
      <c r="FT48" s="48" t="n"/>
      <c r="FU48" s="48" t="n"/>
      <c r="FV48" s="48" t="n"/>
      <c r="FW48" s="48" t="n"/>
      <c r="FX48" s="48" t="n"/>
      <c r="FY48" s="48" t="n"/>
      <c r="FZ48" s="48" t="n"/>
      <c r="GA48" s="48" t="n"/>
      <c r="GB48" s="48" t="n"/>
      <c r="GC48" s="48" t="n"/>
      <c r="GD48" s="48" t="n"/>
      <c r="GE48" s="48" t="n"/>
      <c r="GF48" s="48" t="n"/>
      <c r="GG48" s="48" t="n"/>
      <c r="GH48" s="48" t="n"/>
      <c r="GI48" s="48" t="n"/>
      <c r="GJ48" s="48" t="n"/>
      <c r="GK48" s="48" t="n"/>
      <c r="GL48" s="48" t="n"/>
      <c r="GM48" s="48" t="n"/>
      <c r="GN48" s="48" t="n"/>
      <c r="GO48" s="48" t="n"/>
      <c r="GP48" s="48" t="n"/>
      <c r="GQ48" s="48" t="n"/>
      <c r="GR48" s="48" t="n"/>
      <c r="GS48" s="48" t="n"/>
      <c r="GT48" s="48" t="n"/>
      <c r="GU48" s="48" t="n"/>
      <c r="GV48" s="48" t="n"/>
      <c r="GW48" s="48" t="n"/>
      <c r="GX48" s="48" t="n"/>
      <c r="GY48" s="48" t="n"/>
      <c r="GZ48" s="48" t="n"/>
      <c r="HA48" s="48" t="n"/>
      <c r="HB48" s="48" t="n"/>
      <c r="HC48" s="48" t="n"/>
      <c r="HD48" s="48" t="n"/>
      <c r="HE48" s="48" t="n"/>
      <c r="HF48" s="48" t="n"/>
      <c r="HG48" s="48" t="n"/>
      <c r="HH48" s="48" t="n"/>
      <c r="HI48" s="48" t="n"/>
      <c r="HJ48" s="48" t="n"/>
      <c r="HK48" s="48" t="n"/>
      <c r="HL48" s="48" t="n"/>
      <c r="HM48" s="48" t="n"/>
      <c r="HN48" s="48" t="n"/>
      <c r="HO48" s="48" t="n"/>
      <c r="HP48" s="48" t="n"/>
      <c r="HQ48" s="48" t="n"/>
      <c r="HR48" s="48" t="n"/>
      <c r="HS48" s="48" t="n"/>
      <c r="HT48" s="48" t="n"/>
      <c r="HU48" s="48" t="n"/>
      <c r="HV48" s="48" t="n"/>
      <c r="HW48" s="48" t="n"/>
      <c r="HX48" s="48" t="n"/>
      <c r="HY48" s="48" t="n"/>
      <c r="HZ48" s="48" t="n"/>
      <c r="IA48" s="48" t="n"/>
      <c r="IB48" s="48" t="n"/>
      <c r="IC48" s="48" t="n"/>
      <c r="ID48" s="48" t="n"/>
      <c r="IE48" s="48" t="n"/>
      <c r="IF48" s="48" t="n"/>
      <c r="IG48" s="48" t="n"/>
      <c r="IH48" s="48" t="n"/>
      <c r="II48" s="48" t="n"/>
      <c r="IJ48" s="48" t="n"/>
      <c r="IK48" s="48" t="n"/>
      <c r="IL48" s="48" t="n"/>
      <c r="IM48" s="48" t="n"/>
      <c r="IN48" s="48" t="n"/>
      <c r="IO48" s="48" t="n"/>
      <c r="IP48" s="48" t="n"/>
      <c r="IQ48" s="48" t="n"/>
      <c r="IR48" s="48" t="n"/>
      <c r="IS48" s="48" t="n"/>
      <c r="IT48" s="48" t="n"/>
      <c r="IU48" s="48" t="n"/>
      <c r="IV48" s="48" t="n"/>
      <c r="IW48" s="48" t="n"/>
      <c r="IX48" s="48" t="n"/>
      <c r="IY48" s="48" t="n"/>
      <c r="IZ48" s="48" t="n"/>
      <c r="JA48" s="48" t="n"/>
      <c r="JB48" s="48" t="n"/>
      <c r="JC48" s="48" t="n"/>
      <c r="JD48" s="48" t="n"/>
      <c r="JE48" s="48" t="n"/>
      <c r="JF48" s="48" t="n"/>
      <c r="JG48" s="48" t="n"/>
      <c r="JH48" s="48" t="n"/>
      <c r="JI48" s="48" t="n"/>
      <c r="JJ48" s="48" t="n"/>
      <c r="JK48" s="48" t="n"/>
      <c r="JL48" s="48" t="n"/>
      <c r="JM48" s="48" t="n"/>
      <c r="JN48" s="48" t="n"/>
      <c r="JO48" s="48" t="n"/>
      <c r="JP48" s="48" t="n"/>
      <c r="JQ48" s="48" t="n"/>
      <c r="JR48" s="48" t="n"/>
      <c r="JS48" s="48" t="n"/>
      <c r="JT48" s="48" t="n"/>
      <c r="JU48" s="48" t="n"/>
      <c r="JV48" s="48" t="n"/>
      <c r="JW48" s="48" t="n"/>
      <c r="JX48" s="48" t="n"/>
      <c r="JY48" s="48" t="n"/>
      <c r="JZ48" s="48" t="n"/>
      <c r="KA48" s="48" t="n"/>
      <c r="KB48" s="48" t="n"/>
      <c r="KC48" s="48" t="n"/>
      <c r="KD48" s="48" t="n"/>
      <c r="KE48" s="48" t="n"/>
      <c r="KF48" s="48" t="n"/>
      <c r="KG48" s="48" t="n"/>
      <c r="KH48" s="48" t="n"/>
      <c r="KI48" s="48" t="n"/>
      <c r="KJ48" s="48" t="n"/>
      <c r="KK48" s="48" t="n"/>
      <c r="KL48" s="48" t="n"/>
      <c r="KM48" s="48" t="n"/>
      <c r="KN48" s="48" t="n"/>
      <c r="KO48" s="48" t="n"/>
      <c r="KP48" s="48" t="n"/>
      <c r="KQ48" s="48" t="n"/>
      <c r="KR48" s="48" t="n"/>
      <c r="KS48" s="48" t="n"/>
      <c r="KT48" s="48" t="n"/>
      <c r="KU48" s="48" t="n"/>
      <c r="KV48" s="48" t="n"/>
      <c r="KW48" s="48" t="n"/>
      <c r="KX48" s="48" t="n"/>
      <c r="KY48" s="48" t="n"/>
      <c r="KZ48" s="48" t="n"/>
      <c r="LA48" s="48" t="n"/>
      <c r="LB48" s="48" t="n"/>
      <c r="LC48" s="48" t="n"/>
    </row>
    <row r="49" ht="17" customHeight="1">
      <c r="A49" s="11" t="n">
        <v>41</v>
      </c>
      <c r="B49" s="11" t="inlineStr">
        <is>
          <t>ЮГ-3</t>
        </is>
      </c>
      <c r="C49" s="16">
        <f>'ЮГ-3'!B125</f>
        <v/>
      </c>
      <c r="D49" s="11">
        <f>'ЮГ-3'!C125</f>
        <v/>
      </c>
      <c r="E49" s="11">
        <f>'ЮГ-3'!D125</f>
        <v/>
      </c>
      <c r="F49" s="34">
        <f>'ЮГ-3'!J125</f>
        <v/>
      </c>
      <c r="G49" s="34">
        <f>'ЮГ-3'!G128</f>
        <v/>
      </c>
      <c r="H49" s="34">
        <f>'ЮГ-3'!K125</f>
        <v/>
      </c>
      <c r="I49" s="46">
        <f>'ЮГ-3'!H125</f>
        <v/>
      </c>
      <c r="J49" s="11">
        <f>'ЮГ-3'!L125</f>
        <v/>
      </c>
      <c r="K49" s="11">
        <f>'ЮГ-3'!M125</f>
        <v/>
      </c>
      <c r="L49" s="47">
        <f>'ЮГ-3'!N125</f>
        <v/>
      </c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  <c r="AH49" s="48" t="n"/>
      <c r="AI49" s="48" t="n"/>
      <c r="AJ49" s="48" t="n"/>
      <c r="AK49" s="48" t="n"/>
      <c r="AL49" s="48" t="n"/>
      <c r="AM49" s="48" t="n"/>
      <c r="AN49" s="48" t="n"/>
      <c r="AO49" s="48" t="n"/>
      <c r="AP49" s="48" t="n"/>
      <c r="AQ49" s="48" t="n"/>
      <c r="AR49" s="48" t="n"/>
      <c r="AS49" s="48" t="n"/>
      <c r="AT49" s="48" t="n"/>
      <c r="AU49" s="48" t="n"/>
      <c r="AV49" s="48" t="n"/>
      <c r="AW49" s="48" t="n"/>
      <c r="AX49" s="48" t="n"/>
      <c r="AY49" s="48" t="n"/>
      <c r="AZ49" s="48" t="n"/>
      <c r="BA49" s="48" t="n"/>
      <c r="BB49" s="48" t="n"/>
      <c r="BC49" s="48" t="n"/>
      <c r="BD49" s="48" t="n"/>
      <c r="BE49" s="48" t="n"/>
      <c r="BF49" s="48" t="n"/>
      <c r="BG49" s="48" t="n"/>
      <c r="BH49" s="48" t="n"/>
      <c r="BI49" s="48" t="n"/>
      <c r="BJ49" s="48" t="n"/>
      <c r="BK49" s="48" t="n"/>
      <c r="BL49" s="48" t="n"/>
      <c r="BM49" s="48" t="n"/>
      <c r="BN49" s="48" t="n"/>
      <c r="BO49" s="48" t="n"/>
      <c r="BP49" s="48" t="n"/>
      <c r="BQ49" s="48" t="n"/>
      <c r="BR49" s="48" t="n"/>
      <c r="BS49" s="48" t="n"/>
      <c r="BT49" s="48" t="n"/>
      <c r="BU49" s="48" t="n"/>
      <c r="BV49" s="48" t="n"/>
      <c r="BW49" s="48" t="n"/>
      <c r="BX49" s="48" t="n"/>
      <c r="BY49" s="48" t="n"/>
      <c r="BZ49" s="48" t="n"/>
      <c r="CA49" s="48" t="n"/>
      <c r="CB49" s="48" t="n"/>
      <c r="CC49" s="48" t="n"/>
      <c r="CD49" s="48" t="n"/>
      <c r="CE49" s="48" t="n"/>
      <c r="CF49" s="48" t="n"/>
      <c r="CG49" s="48" t="n"/>
      <c r="CH49" s="48" t="n"/>
      <c r="CI49" s="48" t="n"/>
      <c r="CJ49" s="48" t="n"/>
      <c r="CK49" s="48" t="n"/>
      <c r="CL49" s="48" t="n"/>
      <c r="CM49" s="48" t="n"/>
      <c r="CN49" s="48" t="n"/>
      <c r="CO49" s="48" t="n"/>
      <c r="CP49" s="48" t="n"/>
      <c r="CQ49" s="48" t="n"/>
      <c r="CR49" s="48" t="n"/>
      <c r="CS49" s="48" t="n"/>
      <c r="CT49" s="48" t="n"/>
      <c r="CU49" s="48" t="n"/>
      <c r="CV49" s="48" t="n"/>
      <c r="CW49" s="48" t="n"/>
      <c r="CX49" s="48" t="n"/>
      <c r="CY49" s="48" t="n"/>
      <c r="CZ49" s="48" t="n"/>
      <c r="DA49" s="48" t="n"/>
      <c r="DB49" s="48" t="n"/>
      <c r="DC49" s="48" t="n"/>
      <c r="DD49" s="48" t="n"/>
      <c r="DE49" s="48" t="n"/>
      <c r="DF49" s="48" t="n"/>
      <c r="DG49" s="48" t="n"/>
      <c r="DH49" s="48" t="n"/>
      <c r="DI49" s="48" t="n"/>
      <c r="DJ49" s="48" t="n"/>
      <c r="DK49" s="48" t="n"/>
      <c r="DL49" s="48" t="n"/>
      <c r="DM49" s="48" t="n"/>
      <c r="DN49" s="48" t="n"/>
      <c r="DO49" s="48" t="n"/>
      <c r="DP49" s="48" t="n"/>
      <c r="DQ49" s="48" t="n"/>
      <c r="DR49" s="48" t="n"/>
      <c r="DS49" s="48" t="n"/>
      <c r="DT49" s="48" t="n"/>
      <c r="DU49" s="48" t="n"/>
      <c r="DV49" s="48" t="n"/>
      <c r="DW49" s="48" t="n"/>
      <c r="DX49" s="48" t="n"/>
      <c r="DY49" s="48" t="n"/>
      <c r="DZ49" s="48" t="n"/>
      <c r="EA49" s="48" t="n"/>
      <c r="EB49" s="48" t="n"/>
      <c r="EC49" s="48" t="n"/>
      <c r="ED49" s="48" t="n"/>
      <c r="EE49" s="48" t="n"/>
      <c r="EF49" s="48" t="n"/>
      <c r="EG49" s="48" t="n"/>
      <c r="EH49" s="48" t="n"/>
      <c r="EI49" s="48" t="n"/>
      <c r="EJ49" s="48" t="n"/>
      <c r="EK49" s="48" t="n"/>
      <c r="EL49" s="48" t="n"/>
      <c r="EM49" s="48" t="n"/>
      <c r="EN49" s="48" t="n"/>
      <c r="EO49" s="48" t="n"/>
      <c r="EP49" s="48" t="n"/>
      <c r="EQ49" s="48" t="n"/>
      <c r="ER49" s="48" t="n"/>
      <c r="ES49" s="48" t="n"/>
      <c r="ET49" s="48" t="n"/>
      <c r="EU49" s="48" t="n"/>
      <c r="EV49" s="48" t="n"/>
      <c r="EW49" s="48" t="n"/>
      <c r="EX49" s="48" t="n"/>
      <c r="EY49" s="48" t="n"/>
      <c r="EZ49" s="48" t="n"/>
      <c r="FA49" s="48" t="n"/>
      <c r="FB49" s="48" t="n"/>
      <c r="FC49" s="48" t="n"/>
      <c r="FD49" s="48" t="n"/>
      <c r="FE49" s="48" t="n"/>
      <c r="FF49" s="48" t="n"/>
      <c r="FG49" s="48" t="n"/>
      <c r="FH49" s="48" t="n"/>
      <c r="FI49" s="48" t="n"/>
      <c r="FJ49" s="48" t="n"/>
      <c r="FK49" s="48" t="n"/>
      <c r="FL49" s="48" t="n"/>
      <c r="FM49" s="48" t="n"/>
      <c r="FN49" s="48" t="n"/>
      <c r="FO49" s="48" t="n"/>
      <c r="FP49" s="48" t="n"/>
      <c r="FQ49" s="48" t="n"/>
      <c r="FR49" s="48" t="n"/>
      <c r="FS49" s="48" t="n"/>
      <c r="FT49" s="48" t="n"/>
      <c r="FU49" s="48" t="n"/>
      <c r="FV49" s="48" t="n"/>
      <c r="FW49" s="48" t="n"/>
      <c r="FX49" s="48" t="n"/>
      <c r="FY49" s="48" t="n"/>
      <c r="FZ49" s="48" t="n"/>
      <c r="GA49" s="48" t="n"/>
      <c r="GB49" s="48" t="n"/>
      <c r="GC49" s="48" t="n"/>
      <c r="GD49" s="48" t="n"/>
      <c r="GE49" s="48" t="n"/>
      <c r="GF49" s="48" t="n"/>
      <c r="GG49" s="48" t="n"/>
      <c r="GH49" s="48" t="n"/>
      <c r="GI49" s="48" t="n"/>
      <c r="GJ49" s="48" t="n"/>
      <c r="GK49" s="48" t="n"/>
      <c r="GL49" s="48" t="n"/>
      <c r="GM49" s="48" t="n"/>
      <c r="GN49" s="48" t="n"/>
      <c r="GO49" s="48" t="n"/>
      <c r="GP49" s="48" t="n"/>
      <c r="GQ49" s="48" t="n"/>
      <c r="GR49" s="48" t="n"/>
      <c r="GS49" s="48" t="n"/>
      <c r="GT49" s="48" t="n"/>
      <c r="GU49" s="48" t="n"/>
      <c r="GV49" s="48" t="n"/>
      <c r="GW49" s="48" t="n"/>
      <c r="GX49" s="48" t="n"/>
      <c r="GY49" s="48" t="n"/>
      <c r="GZ49" s="48" t="n"/>
      <c r="HA49" s="48" t="n"/>
      <c r="HB49" s="48" t="n"/>
      <c r="HC49" s="48" t="n"/>
      <c r="HD49" s="48" t="n"/>
      <c r="HE49" s="48" t="n"/>
      <c r="HF49" s="48" t="n"/>
      <c r="HG49" s="48" t="n"/>
      <c r="HH49" s="48" t="n"/>
      <c r="HI49" s="48" t="n"/>
      <c r="HJ49" s="48" t="n"/>
      <c r="HK49" s="48" t="n"/>
      <c r="HL49" s="48" t="n"/>
      <c r="HM49" s="48" t="n"/>
      <c r="HN49" s="48" t="n"/>
      <c r="HO49" s="48" t="n"/>
      <c r="HP49" s="48" t="n"/>
      <c r="HQ49" s="48" t="n"/>
      <c r="HR49" s="48" t="n"/>
      <c r="HS49" s="48" t="n"/>
      <c r="HT49" s="48" t="n"/>
      <c r="HU49" s="48" t="n"/>
      <c r="HV49" s="48" t="n"/>
      <c r="HW49" s="48" t="n"/>
      <c r="HX49" s="48" t="n"/>
      <c r="HY49" s="48" t="n"/>
      <c r="HZ49" s="48" t="n"/>
      <c r="IA49" s="48" t="n"/>
      <c r="IB49" s="48" t="n"/>
      <c r="IC49" s="48" t="n"/>
      <c r="ID49" s="48" t="n"/>
      <c r="IE49" s="48" t="n"/>
      <c r="IF49" s="48" t="n"/>
      <c r="IG49" s="48" t="n"/>
      <c r="IH49" s="48" t="n"/>
      <c r="II49" s="48" t="n"/>
      <c r="IJ49" s="48" t="n"/>
      <c r="IK49" s="48" t="n"/>
      <c r="IL49" s="48" t="n"/>
      <c r="IM49" s="48" t="n"/>
      <c r="IN49" s="48" t="n"/>
      <c r="IO49" s="48" t="n"/>
      <c r="IP49" s="48" t="n"/>
      <c r="IQ49" s="48" t="n"/>
      <c r="IR49" s="48" t="n"/>
      <c r="IS49" s="48" t="n"/>
      <c r="IT49" s="48" t="n"/>
      <c r="IU49" s="48" t="n"/>
      <c r="IV49" s="48" t="n"/>
      <c r="IW49" s="48" t="n"/>
      <c r="IX49" s="48" t="n"/>
      <c r="IY49" s="48" t="n"/>
      <c r="IZ49" s="48" t="n"/>
      <c r="JA49" s="48" t="n"/>
      <c r="JB49" s="48" t="n"/>
      <c r="JC49" s="48" t="n"/>
      <c r="JD49" s="48" t="n"/>
      <c r="JE49" s="48" t="n"/>
      <c r="JF49" s="48" t="n"/>
      <c r="JG49" s="48" t="n"/>
      <c r="JH49" s="48" t="n"/>
      <c r="JI49" s="48" t="n"/>
      <c r="JJ49" s="48" t="n"/>
      <c r="JK49" s="48" t="n"/>
      <c r="JL49" s="48" t="n"/>
      <c r="JM49" s="48" t="n"/>
      <c r="JN49" s="48" t="n"/>
      <c r="JO49" s="48" t="n"/>
      <c r="JP49" s="48" t="n"/>
      <c r="JQ49" s="48" t="n"/>
      <c r="JR49" s="48" t="n"/>
      <c r="JS49" s="48" t="n"/>
      <c r="JT49" s="48" t="n"/>
      <c r="JU49" s="48" t="n"/>
      <c r="JV49" s="48" t="n"/>
      <c r="JW49" s="48" t="n"/>
      <c r="JX49" s="48" t="n"/>
      <c r="JY49" s="48" t="n"/>
      <c r="JZ49" s="48" t="n"/>
      <c r="KA49" s="48" t="n"/>
      <c r="KB49" s="48" t="n"/>
      <c r="KC49" s="48" t="n"/>
      <c r="KD49" s="48" t="n"/>
      <c r="KE49" s="48" t="n"/>
      <c r="KF49" s="48" t="n"/>
      <c r="KG49" s="48" t="n"/>
      <c r="KH49" s="48" t="n"/>
      <c r="KI49" s="48" t="n"/>
      <c r="KJ49" s="48" t="n"/>
      <c r="KK49" s="48" t="n"/>
      <c r="KL49" s="48" t="n"/>
      <c r="KM49" s="48" t="n"/>
      <c r="KN49" s="48" t="n"/>
      <c r="KO49" s="48" t="n"/>
      <c r="KP49" s="48" t="n"/>
      <c r="KQ49" s="48" t="n"/>
      <c r="KR49" s="48" t="n"/>
      <c r="KS49" s="48" t="n"/>
      <c r="KT49" s="48" t="n"/>
      <c r="KU49" s="48" t="n"/>
      <c r="KV49" s="48" t="n"/>
      <c r="KW49" s="48" t="n"/>
      <c r="KX49" s="48" t="n"/>
      <c r="KY49" s="48" t="n"/>
      <c r="KZ49" s="48" t="n"/>
      <c r="LA49" s="48" t="n"/>
      <c r="LB49" s="48" t="n"/>
      <c r="LC49" s="48" t="n"/>
    </row>
    <row r="50" ht="17" customHeight="1">
      <c r="A50" s="11" t="n">
        <v>42</v>
      </c>
      <c r="B50" s="11" t="inlineStr">
        <is>
          <t>ЮГ-3</t>
        </is>
      </c>
      <c r="C50" s="16">
        <f>'ЮГ-3'!B135</f>
        <v/>
      </c>
      <c r="D50" s="11">
        <f>'ЮГ-3'!C135</f>
        <v/>
      </c>
      <c r="E50" s="11">
        <f>'ЮГ-3'!D135</f>
        <v/>
      </c>
      <c r="F50" s="34">
        <f>'ЮГ-3'!J135</f>
        <v/>
      </c>
      <c r="G50" s="34">
        <f>'ЮГ-3'!G138</f>
        <v/>
      </c>
      <c r="H50" s="34">
        <f>'ЮГ-3'!K135</f>
        <v/>
      </c>
      <c r="I50" s="46">
        <f>'ЮГ-3'!H135</f>
        <v/>
      </c>
      <c r="J50" s="11">
        <f>'ЮГ-3'!L135</f>
        <v/>
      </c>
      <c r="K50" s="11">
        <f>'ЮГ-3'!M135</f>
        <v/>
      </c>
      <c r="L50" s="47">
        <f>'ЮГ-3'!N135</f>
        <v/>
      </c>
      <c r="M50" s="48" t="n"/>
      <c r="N50" s="48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8" t="n"/>
      <c r="X50" s="48" t="n"/>
      <c r="Y50" s="48" t="n"/>
      <c r="Z50" s="48" t="n"/>
      <c r="AA50" s="48" t="n"/>
      <c r="AB50" s="48" t="n"/>
      <c r="AC50" s="48" t="n"/>
      <c r="AD50" s="48" t="n"/>
      <c r="AE50" s="48" t="n"/>
      <c r="AF50" s="48" t="n"/>
      <c r="AG50" s="48" t="n"/>
      <c r="AH50" s="48" t="n"/>
      <c r="AI50" s="48" t="n"/>
      <c r="AJ50" s="48" t="n"/>
      <c r="AK50" s="48" t="n"/>
      <c r="AL50" s="48" t="n"/>
      <c r="AM50" s="48" t="n"/>
      <c r="AN50" s="48" t="n"/>
      <c r="AO50" s="48" t="n"/>
      <c r="AP50" s="48" t="n"/>
      <c r="AQ50" s="48" t="n"/>
      <c r="AR50" s="48" t="n"/>
      <c r="AS50" s="48" t="n"/>
      <c r="AT50" s="48" t="n"/>
      <c r="AU50" s="48" t="n"/>
      <c r="AV50" s="48" t="n"/>
      <c r="AW50" s="48" t="n"/>
      <c r="AX50" s="48" t="n"/>
      <c r="AY50" s="48" t="n"/>
      <c r="AZ50" s="48" t="n"/>
      <c r="BA50" s="48" t="n"/>
      <c r="BB50" s="48" t="n"/>
      <c r="BC50" s="48" t="n"/>
      <c r="BD50" s="48" t="n"/>
      <c r="BE50" s="48" t="n"/>
      <c r="BF50" s="48" t="n"/>
      <c r="BG50" s="48" t="n"/>
      <c r="BH50" s="48" t="n"/>
      <c r="BI50" s="48" t="n"/>
      <c r="BJ50" s="48" t="n"/>
      <c r="BK50" s="48" t="n"/>
      <c r="BL50" s="48" t="n"/>
      <c r="BM50" s="48" t="n"/>
      <c r="BN50" s="48" t="n"/>
      <c r="BO50" s="48" t="n"/>
      <c r="BP50" s="48" t="n"/>
      <c r="BQ50" s="48" t="n"/>
      <c r="BR50" s="48" t="n"/>
      <c r="BS50" s="48" t="n"/>
      <c r="BT50" s="48" t="n"/>
      <c r="BU50" s="48" t="n"/>
      <c r="BV50" s="48" t="n"/>
      <c r="BW50" s="48" t="n"/>
      <c r="BX50" s="48" t="n"/>
      <c r="BY50" s="48" t="n"/>
      <c r="BZ50" s="48" t="n"/>
      <c r="CA50" s="48" t="n"/>
      <c r="CB50" s="48" t="n"/>
      <c r="CC50" s="48" t="n"/>
      <c r="CD50" s="48" t="n"/>
      <c r="CE50" s="48" t="n"/>
      <c r="CF50" s="48" t="n"/>
      <c r="CG50" s="48" t="n"/>
      <c r="CH50" s="48" t="n"/>
      <c r="CI50" s="48" t="n"/>
      <c r="CJ50" s="48" t="n"/>
      <c r="CK50" s="48" t="n"/>
      <c r="CL50" s="48" t="n"/>
      <c r="CM50" s="48" t="n"/>
      <c r="CN50" s="48" t="n"/>
      <c r="CO50" s="48" t="n"/>
      <c r="CP50" s="48" t="n"/>
      <c r="CQ50" s="48" t="n"/>
      <c r="CR50" s="48" t="n"/>
      <c r="CS50" s="48" t="n"/>
      <c r="CT50" s="48" t="n"/>
      <c r="CU50" s="48" t="n"/>
      <c r="CV50" s="48" t="n"/>
      <c r="CW50" s="48" t="n"/>
      <c r="CX50" s="48" t="n"/>
      <c r="CY50" s="48" t="n"/>
      <c r="CZ50" s="48" t="n"/>
      <c r="DA50" s="48" t="n"/>
      <c r="DB50" s="48" t="n"/>
      <c r="DC50" s="48" t="n"/>
      <c r="DD50" s="48" t="n"/>
      <c r="DE50" s="48" t="n"/>
      <c r="DF50" s="48" t="n"/>
      <c r="DG50" s="48" t="n"/>
      <c r="DH50" s="48" t="n"/>
      <c r="DI50" s="48" t="n"/>
      <c r="DJ50" s="48" t="n"/>
      <c r="DK50" s="48" t="n"/>
      <c r="DL50" s="48" t="n"/>
      <c r="DM50" s="48" t="n"/>
      <c r="DN50" s="48" t="n"/>
      <c r="DO50" s="48" t="n"/>
      <c r="DP50" s="48" t="n"/>
      <c r="DQ50" s="48" t="n"/>
      <c r="DR50" s="48" t="n"/>
      <c r="DS50" s="48" t="n"/>
      <c r="DT50" s="48" t="n"/>
      <c r="DU50" s="48" t="n"/>
      <c r="DV50" s="48" t="n"/>
      <c r="DW50" s="48" t="n"/>
      <c r="DX50" s="48" t="n"/>
      <c r="DY50" s="48" t="n"/>
      <c r="DZ50" s="48" t="n"/>
      <c r="EA50" s="48" t="n"/>
      <c r="EB50" s="48" t="n"/>
      <c r="EC50" s="48" t="n"/>
      <c r="ED50" s="48" t="n"/>
      <c r="EE50" s="48" t="n"/>
      <c r="EF50" s="48" t="n"/>
      <c r="EG50" s="48" t="n"/>
      <c r="EH50" s="48" t="n"/>
      <c r="EI50" s="48" t="n"/>
      <c r="EJ50" s="48" t="n"/>
      <c r="EK50" s="48" t="n"/>
      <c r="EL50" s="48" t="n"/>
      <c r="EM50" s="48" t="n"/>
      <c r="EN50" s="48" t="n"/>
      <c r="EO50" s="48" t="n"/>
      <c r="EP50" s="48" t="n"/>
      <c r="EQ50" s="48" t="n"/>
      <c r="ER50" s="48" t="n"/>
      <c r="ES50" s="48" t="n"/>
      <c r="ET50" s="48" t="n"/>
      <c r="EU50" s="48" t="n"/>
      <c r="EV50" s="48" t="n"/>
      <c r="EW50" s="48" t="n"/>
      <c r="EX50" s="48" t="n"/>
      <c r="EY50" s="48" t="n"/>
      <c r="EZ50" s="48" t="n"/>
      <c r="FA50" s="48" t="n"/>
      <c r="FB50" s="48" t="n"/>
      <c r="FC50" s="48" t="n"/>
      <c r="FD50" s="48" t="n"/>
      <c r="FE50" s="48" t="n"/>
      <c r="FF50" s="48" t="n"/>
      <c r="FG50" s="48" t="n"/>
      <c r="FH50" s="48" t="n"/>
      <c r="FI50" s="48" t="n"/>
      <c r="FJ50" s="48" t="n"/>
      <c r="FK50" s="48" t="n"/>
      <c r="FL50" s="48" t="n"/>
      <c r="FM50" s="48" t="n"/>
      <c r="FN50" s="48" t="n"/>
      <c r="FO50" s="48" t="n"/>
      <c r="FP50" s="48" t="n"/>
      <c r="FQ50" s="48" t="n"/>
      <c r="FR50" s="48" t="n"/>
      <c r="FS50" s="48" t="n"/>
      <c r="FT50" s="48" t="n"/>
      <c r="FU50" s="48" t="n"/>
      <c r="FV50" s="48" t="n"/>
      <c r="FW50" s="48" t="n"/>
      <c r="FX50" s="48" t="n"/>
      <c r="FY50" s="48" t="n"/>
      <c r="FZ50" s="48" t="n"/>
      <c r="GA50" s="48" t="n"/>
      <c r="GB50" s="48" t="n"/>
      <c r="GC50" s="48" t="n"/>
      <c r="GD50" s="48" t="n"/>
      <c r="GE50" s="48" t="n"/>
      <c r="GF50" s="48" t="n"/>
      <c r="GG50" s="48" t="n"/>
      <c r="GH50" s="48" t="n"/>
      <c r="GI50" s="48" t="n"/>
      <c r="GJ50" s="48" t="n"/>
      <c r="GK50" s="48" t="n"/>
      <c r="GL50" s="48" t="n"/>
      <c r="GM50" s="48" t="n"/>
      <c r="GN50" s="48" t="n"/>
      <c r="GO50" s="48" t="n"/>
      <c r="GP50" s="48" t="n"/>
      <c r="GQ50" s="48" t="n"/>
      <c r="GR50" s="48" t="n"/>
      <c r="GS50" s="48" t="n"/>
      <c r="GT50" s="48" t="n"/>
      <c r="GU50" s="48" t="n"/>
      <c r="GV50" s="48" t="n"/>
      <c r="GW50" s="48" t="n"/>
      <c r="GX50" s="48" t="n"/>
      <c r="GY50" s="48" t="n"/>
      <c r="GZ50" s="48" t="n"/>
      <c r="HA50" s="48" t="n"/>
      <c r="HB50" s="48" t="n"/>
      <c r="HC50" s="48" t="n"/>
      <c r="HD50" s="48" t="n"/>
      <c r="HE50" s="48" t="n"/>
      <c r="HF50" s="48" t="n"/>
      <c r="HG50" s="48" t="n"/>
      <c r="HH50" s="48" t="n"/>
      <c r="HI50" s="48" t="n"/>
      <c r="HJ50" s="48" t="n"/>
      <c r="HK50" s="48" t="n"/>
      <c r="HL50" s="48" t="n"/>
      <c r="HM50" s="48" t="n"/>
      <c r="HN50" s="48" t="n"/>
      <c r="HO50" s="48" t="n"/>
      <c r="HP50" s="48" t="n"/>
      <c r="HQ50" s="48" t="n"/>
      <c r="HR50" s="48" t="n"/>
      <c r="HS50" s="48" t="n"/>
      <c r="HT50" s="48" t="n"/>
      <c r="HU50" s="48" t="n"/>
      <c r="HV50" s="48" t="n"/>
      <c r="HW50" s="48" t="n"/>
      <c r="HX50" s="48" t="n"/>
      <c r="HY50" s="48" t="n"/>
      <c r="HZ50" s="48" t="n"/>
      <c r="IA50" s="48" t="n"/>
      <c r="IB50" s="48" t="n"/>
      <c r="IC50" s="48" t="n"/>
      <c r="ID50" s="48" t="n"/>
      <c r="IE50" s="48" t="n"/>
      <c r="IF50" s="48" t="n"/>
      <c r="IG50" s="48" t="n"/>
      <c r="IH50" s="48" t="n"/>
      <c r="II50" s="48" t="n"/>
      <c r="IJ50" s="48" t="n"/>
      <c r="IK50" s="48" t="n"/>
      <c r="IL50" s="48" t="n"/>
      <c r="IM50" s="48" t="n"/>
      <c r="IN50" s="48" t="n"/>
      <c r="IO50" s="48" t="n"/>
      <c r="IP50" s="48" t="n"/>
      <c r="IQ50" s="48" t="n"/>
      <c r="IR50" s="48" t="n"/>
      <c r="IS50" s="48" t="n"/>
      <c r="IT50" s="48" t="n"/>
      <c r="IU50" s="48" t="n"/>
      <c r="IV50" s="48" t="n"/>
      <c r="IW50" s="48" t="n"/>
      <c r="IX50" s="48" t="n"/>
      <c r="IY50" s="48" t="n"/>
      <c r="IZ50" s="48" t="n"/>
      <c r="JA50" s="48" t="n"/>
      <c r="JB50" s="48" t="n"/>
      <c r="JC50" s="48" t="n"/>
      <c r="JD50" s="48" t="n"/>
      <c r="JE50" s="48" t="n"/>
      <c r="JF50" s="48" t="n"/>
      <c r="JG50" s="48" t="n"/>
      <c r="JH50" s="48" t="n"/>
      <c r="JI50" s="48" t="n"/>
      <c r="JJ50" s="48" t="n"/>
      <c r="JK50" s="48" t="n"/>
      <c r="JL50" s="48" t="n"/>
      <c r="JM50" s="48" t="n"/>
      <c r="JN50" s="48" t="n"/>
      <c r="JO50" s="48" t="n"/>
      <c r="JP50" s="48" t="n"/>
      <c r="JQ50" s="48" t="n"/>
      <c r="JR50" s="48" t="n"/>
      <c r="JS50" s="48" t="n"/>
      <c r="JT50" s="48" t="n"/>
      <c r="JU50" s="48" t="n"/>
      <c r="JV50" s="48" t="n"/>
      <c r="JW50" s="48" t="n"/>
      <c r="JX50" s="48" t="n"/>
      <c r="JY50" s="48" t="n"/>
      <c r="JZ50" s="48" t="n"/>
      <c r="KA50" s="48" t="n"/>
      <c r="KB50" s="48" t="n"/>
      <c r="KC50" s="48" t="n"/>
      <c r="KD50" s="48" t="n"/>
      <c r="KE50" s="48" t="n"/>
      <c r="KF50" s="48" t="n"/>
      <c r="KG50" s="48" t="n"/>
      <c r="KH50" s="48" t="n"/>
      <c r="KI50" s="48" t="n"/>
      <c r="KJ50" s="48" t="n"/>
      <c r="KK50" s="48" t="n"/>
      <c r="KL50" s="48" t="n"/>
      <c r="KM50" s="48" t="n"/>
      <c r="KN50" s="48" t="n"/>
      <c r="KO50" s="48" t="n"/>
      <c r="KP50" s="48" t="n"/>
      <c r="KQ50" s="48" t="n"/>
      <c r="KR50" s="48" t="n"/>
      <c r="KS50" s="48" t="n"/>
      <c r="KT50" s="48" t="n"/>
      <c r="KU50" s="48" t="n"/>
      <c r="KV50" s="48" t="n"/>
      <c r="KW50" s="48" t="n"/>
      <c r="KX50" s="48" t="n"/>
      <c r="KY50" s="48" t="n"/>
      <c r="KZ50" s="48" t="n"/>
      <c r="LA50" s="48" t="n"/>
      <c r="LB50" s="48" t="n"/>
      <c r="LC50" s="48" t="n"/>
    </row>
  </sheetData>
  <autoFilter ref="A5:L50"/>
  <mergeCells count="19">
    <mergeCell ref="EE4:FI4"/>
    <mergeCell ref="BV4:CY4"/>
    <mergeCell ref="FJ4:GK4"/>
    <mergeCell ref="A21:L21"/>
    <mergeCell ref="AQ4:BU4"/>
    <mergeCell ref="HQ4:IT4"/>
    <mergeCell ref="G3:H3"/>
    <mergeCell ref="IU4:JY4"/>
    <mergeCell ref="A4:L4"/>
    <mergeCell ref="CZ4:ED4"/>
    <mergeCell ref="JZ4:LC4"/>
    <mergeCell ref="M4:AP4"/>
    <mergeCell ref="A1:L1"/>
    <mergeCell ref="A36:L36"/>
    <mergeCell ref="A6:L6"/>
    <mergeCell ref="GL4:HP4"/>
    <mergeCell ref="A2:J2"/>
    <mergeCell ref="C3:D3"/>
    <mergeCell ref="K3:L3"/>
  </mergeCells>
  <conditionalFormatting sqref="J6:K50">
    <cfRule type="expression" priority="1" dxfId="0" stopIfTrue="1">
      <formula>$K6="В ГРАФИКЕ"</formula>
    </cfRule>
    <cfRule type="expression" priority="2" dxfId="1" stopIfTrue="1">
      <formula>$K6="РИСК"</formula>
    </cfRule>
    <cfRule type="expression" priority="3" dxfId="2" stopIfTrue="1">
      <formula>$K6="СРЫВ ГРАФИКА"</formula>
    </cfRule>
  </conditionalFormatting>
  <conditionalFormatting sqref="L2">
    <cfRule type="expression" priority="4" dxfId="3" stopIfTrue="1">
      <formula>$L$2="В ГРАФИКЕ"</formula>
    </cfRule>
    <cfRule type="expression" priority="5" dxfId="4" stopIfTrue="1">
      <formula>$L$2="РИСК"</formula>
    </cfRule>
    <cfRule type="expression" priority="6" dxfId="5" stopIfTrue="1">
      <formula>$L$2="СРЫВ ГРАФИКА"</formula>
    </cfRule>
  </conditionalFormatting>
  <conditionalFormatting sqref="M6:LC50">
    <cfRule type="expression" priority="7" dxfId="6" stopIfTrue="1">
      <formula>AND(M$5=TODAY(),$K6="СРЫВ ГРАФИКА")</formula>
    </cfRule>
    <cfRule type="expression" priority="8" dxfId="7" stopIfTrue="1">
      <formula>AND(M$5=TODAY(),$K6="РИСК")</formula>
    </cfRule>
    <cfRule type="expression" priority="9" dxfId="8" stopIfTrue="1">
      <formula>AND(M$5=TODAY(),$K6="В ГРАФИКЕ")</formula>
    </cfRule>
    <cfRule type="expression" priority="10" dxfId="9" stopIfTrue="1">
      <formula>M$5=TODAY()</formula>
    </cfRule>
    <cfRule type="expression" priority="11" dxfId="10" stopIfTrue="1">
      <formula>AND($I6&lt;&gt;"",M$5=$I6)</formula>
    </cfRule>
    <cfRule type="expression" priority="12" dxfId="11" stopIfTrue="1">
      <formula>AND($G6&lt;&gt;"",M$5&gt;$G6,M$5&lt;=$H6,$K6="СРЫВ ГРАФИКА")</formula>
    </cfRule>
    <cfRule type="expression" priority="13" dxfId="12" stopIfTrue="1">
      <formula>AND($G6&lt;&gt;"",M$5&gt;$G6,M$5&lt;=$H6,$K6="РИСК")</formula>
    </cfRule>
    <cfRule type="expression" priority="14" dxfId="13" stopIfTrue="1">
      <formula>AND($G6&lt;&gt;"",M$5&gt;$G6,M$5&lt;=$H6,$K6="В ГРАФИКЕ")</formula>
    </cfRule>
    <cfRule type="expression" priority="15" dxfId="14" stopIfTrue="1">
      <formula>AND($F6&lt;&gt;"",M$5&gt;=$F6,M$5&lt;=$G6,$K6="СРЫВ ГРАФИКА")</formula>
    </cfRule>
    <cfRule type="expression" priority="16" dxfId="15" stopIfTrue="1">
      <formula>AND($F6&lt;&gt;"",M$5&gt;=$F6,M$5&lt;=$G6,$K6="РИСК")</formula>
    </cfRule>
    <cfRule type="expression" priority="17" dxfId="16" stopIfTrue="1">
      <formula>AND($F6&lt;&gt;"",M$5&gt;=$F6,M$5&lt;=$G6,$K6="В ГРАФИКЕ")</formula>
    </cfRule>
    <cfRule type="expression" priority="18" dxfId="17" stopIfTrue="0">
      <formula>WEEKDAY(M$5,2)&gt;5</formula>
    </cfRule>
  </conditionalFormatting>
  <conditionalFormatting sqref="M5:LC5">
    <cfRule type="expression" priority="19" dxfId="18" stopIfTrue="1">
      <formula>M$5=TODAY()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0" customWidth="1" min="3" max="3"/>
    <col width="11" customWidth="1" min="4" max="4"/>
    <col width="11" customWidth="1" min="5" max="5"/>
    <col width="11" customWidth="1" min="6" max="6"/>
    <col width="13" customWidth="1" min="7" max="7"/>
    <col width="15" customWidth="1" min="8" max="8"/>
    <col width="14" customWidth="1" min="9" max="9"/>
    <col width="12" customWidth="1" min="10" max="10"/>
    <col width="16" customWidth="1" min="11" max="11"/>
  </cols>
  <sheetData>
    <row r="1">
      <c r="A1" s="1" t="inlineStr">
        <is>
          <t>СВОДНАЯ ПОТРЕБНОСТЬ В МТР НА КРЕПЛЕНИЕ СКВАЖИН ЮГ-1, ЮГ-2, ЮГ-3</t>
        </is>
      </c>
    </row>
    <row r="2">
      <c r="A2" s="2" t="inlineStr">
        <is>
          <t>Объем закупки по номенклатуре в целом по программе. Статус — худший из трех скважин.</t>
        </is>
      </c>
    </row>
    <row r="4" ht="42" customHeight="1">
      <c r="A4" s="10" t="inlineStr">
        <is>
          <t>№</t>
        </is>
      </c>
      <c r="B4" s="10" t="inlineStr">
        <is>
          <t>Наименование МТР</t>
        </is>
      </c>
      <c r="C4" s="10" t="inlineStr">
        <is>
          <t>Ед. изм.</t>
        </is>
      </c>
      <c r="D4" s="10" t="inlineStr">
        <is>
          <t>ЮГ-1</t>
        </is>
      </c>
      <c r="E4" s="10" t="inlineStr">
        <is>
          <t>ЮГ-2</t>
        </is>
      </c>
      <c r="F4" s="10" t="inlineStr">
        <is>
          <t>ЮГ-3</t>
        </is>
      </c>
      <c r="G4" s="10" t="inlineStr">
        <is>
          <t>ИТОГО к закупке</t>
        </is>
      </c>
      <c r="H4" s="10" t="inlineStr">
        <is>
          <t>Цикл поставки, сут</t>
        </is>
      </c>
      <c r="I4" s="10" t="inlineStr">
        <is>
          <t>Самая ранняя потребность</t>
        </is>
      </c>
      <c r="J4" s="10" t="inlineStr">
        <is>
          <t>Мин. запас, сут</t>
        </is>
      </c>
      <c r="K4" s="10" t="inlineStr">
        <is>
          <t>ХУДШИЙ СТАТУС</t>
        </is>
      </c>
    </row>
    <row r="5" ht="22" customHeight="1">
      <c r="A5" s="11" t="n">
        <v>1</v>
      </c>
      <c r="B5" s="16">
        <f>Справочник!B33</f>
        <v/>
      </c>
      <c r="C5" s="11">
        <f>Справочник!C33</f>
        <v/>
      </c>
      <c r="D5" s="11">
        <f>'ЮГ-1'!D5</f>
        <v/>
      </c>
      <c r="E5" s="11">
        <f>'ЮГ-2'!D5</f>
        <v/>
      </c>
      <c r="F5" s="11">
        <f>'ЮГ-3'!D5</f>
        <v/>
      </c>
      <c r="G5" s="14">
        <f>SUM(D5:F5)</f>
        <v/>
      </c>
      <c r="H5" s="11">
        <f>'ЮГ-1'!E5</f>
        <v/>
      </c>
      <c r="I5" s="46">
        <f>MIN('ЮГ-1'!H5,'ЮГ-2'!H5,'ЮГ-3'!H5)</f>
        <v/>
      </c>
      <c r="J5" s="11">
        <f>MIN('ЮГ-1'!L5,'ЮГ-2'!L5,'ЮГ-3'!L5)</f>
        <v/>
      </c>
      <c r="K5" s="11">
        <f>IF(J5&lt;0,"СРЫВ ГРАФИКА",IF(J5&lt;14,"РИСК","В ГРАФИКЕ"))</f>
        <v/>
      </c>
    </row>
    <row r="6" ht="22" customHeight="1">
      <c r="A6" s="11" t="n">
        <v>2</v>
      </c>
      <c r="B6" s="16">
        <f>Справочник!B34</f>
        <v/>
      </c>
      <c r="C6" s="11">
        <f>Справочник!C34</f>
        <v/>
      </c>
      <c r="D6" s="11">
        <f>'ЮГ-1'!D15</f>
        <v/>
      </c>
      <c r="E6" s="11">
        <f>'ЮГ-2'!D15</f>
        <v/>
      </c>
      <c r="F6" s="11">
        <f>'ЮГ-3'!D15</f>
        <v/>
      </c>
      <c r="G6" s="14">
        <f>SUM(D6:F6)</f>
        <v/>
      </c>
      <c r="H6" s="11">
        <f>'ЮГ-1'!E15</f>
        <v/>
      </c>
      <c r="I6" s="46">
        <f>MIN('ЮГ-1'!H15,'ЮГ-2'!H15,'ЮГ-3'!H15)</f>
        <v/>
      </c>
      <c r="J6" s="11">
        <f>MIN('ЮГ-1'!L15,'ЮГ-2'!L15,'ЮГ-3'!L15)</f>
        <v/>
      </c>
      <c r="K6" s="11">
        <f>IF(J6&lt;0,"СРЫВ ГРАФИКА",IF(J6&lt;14,"РИСК","В ГРАФИКЕ"))</f>
        <v/>
      </c>
    </row>
    <row r="7" ht="22" customHeight="1">
      <c r="A7" s="11" t="n">
        <v>3</v>
      </c>
      <c r="B7" s="16">
        <f>Справочник!B35</f>
        <v/>
      </c>
      <c r="C7" s="11">
        <f>Справочник!C35</f>
        <v/>
      </c>
      <c r="D7" s="11">
        <f>'ЮГ-1'!D25</f>
        <v/>
      </c>
      <c r="E7" s="11">
        <f>'ЮГ-2'!D25</f>
        <v/>
      </c>
      <c r="F7" s="11">
        <f>'ЮГ-3'!D25</f>
        <v/>
      </c>
      <c r="G7" s="14">
        <f>SUM(D7:F7)</f>
        <v/>
      </c>
      <c r="H7" s="11">
        <f>'ЮГ-1'!E25</f>
        <v/>
      </c>
      <c r="I7" s="46">
        <f>MIN('ЮГ-1'!H25,'ЮГ-2'!H25,'ЮГ-3'!H25)</f>
        <v/>
      </c>
      <c r="J7" s="11">
        <f>MIN('ЮГ-1'!L25,'ЮГ-2'!L25,'ЮГ-3'!L25)</f>
        <v/>
      </c>
      <c r="K7" s="11">
        <f>IF(J7&lt;0,"СРЫВ ГРАФИКА",IF(J7&lt;14,"РИСК","В ГРАФИКЕ"))</f>
        <v/>
      </c>
    </row>
    <row r="8" ht="22" customHeight="1">
      <c r="A8" s="11" t="n">
        <v>4</v>
      </c>
      <c r="B8" s="16">
        <f>Справочник!B36</f>
        <v/>
      </c>
      <c r="C8" s="11">
        <f>Справочник!C36</f>
        <v/>
      </c>
      <c r="D8" s="11">
        <f>'ЮГ-1'!D35</f>
        <v/>
      </c>
      <c r="E8" s="11">
        <f>'ЮГ-2'!D35</f>
        <v/>
      </c>
      <c r="F8" s="11">
        <f>'ЮГ-3'!D35</f>
        <v/>
      </c>
      <c r="G8" s="14">
        <f>SUM(D8:F8)</f>
        <v/>
      </c>
      <c r="H8" s="11">
        <f>'ЮГ-1'!E35</f>
        <v/>
      </c>
      <c r="I8" s="46">
        <f>MIN('ЮГ-1'!H35,'ЮГ-2'!H35,'ЮГ-3'!H35)</f>
        <v/>
      </c>
      <c r="J8" s="11">
        <f>MIN('ЮГ-1'!L35,'ЮГ-2'!L35,'ЮГ-3'!L35)</f>
        <v/>
      </c>
      <c r="K8" s="11">
        <f>IF(J8&lt;0,"СРЫВ ГРАФИКА",IF(J8&lt;14,"РИСК","В ГРАФИКЕ"))</f>
        <v/>
      </c>
    </row>
    <row r="9" ht="22" customHeight="1">
      <c r="A9" s="11" t="n">
        <v>5</v>
      </c>
      <c r="B9" s="16">
        <f>Справочник!B37</f>
        <v/>
      </c>
      <c r="C9" s="11">
        <f>Справочник!C37</f>
        <v/>
      </c>
      <c r="D9" s="11">
        <f>'ЮГ-1'!D45</f>
        <v/>
      </c>
      <c r="E9" s="11">
        <f>'ЮГ-2'!D45</f>
        <v/>
      </c>
      <c r="F9" s="11">
        <f>'ЮГ-3'!D45</f>
        <v/>
      </c>
      <c r="G9" s="14">
        <f>SUM(D9:F9)</f>
        <v/>
      </c>
      <c r="H9" s="11">
        <f>'ЮГ-1'!E45</f>
        <v/>
      </c>
      <c r="I9" s="46">
        <f>MIN('ЮГ-1'!H45,'ЮГ-2'!H45,'ЮГ-3'!H45)</f>
        <v/>
      </c>
      <c r="J9" s="11">
        <f>MIN('ЮГ-1'!L45,'ЮГ-2'!L45,'ЮГ-3'!L45)</f>
        <v/>
      </c>
      <c r="K9" s="11">
        <f>IF(J9&lt;0,"СРЫВ ГРАФИКА",IF(J9&lt;14,"РИСК","В ГРАФИКЕ"))</f>
        <v/>
      </c>
    </row>
    <row r="10" ht="22" customHeight="1">
      <c r="A10" s="11" t="n">
        <v>6</v>
      </c>
      <c r="B10" s="16">
        <f>Справочник!B38</f>
        <v/>
      </c>
      <c r="C10" s="11">
        <f>Справочник!C38</f>
        <v/>
      </c>
      <c r="D10" s="11">
        <f>'ЮГ-1'!D55</f>
        <v/>
      </c>
      <c r="E10" s="11">
        <f>'ЮГ-2'!D55</f>
        <v/>
      </c>
      <c r="F10" s="11">
        <f>'ЮГ-3'!D55</f>
        <v/>
      </c>
      <c r="G10" s="14">
        <f>SUM(D10:F10)</f>
        <v/>
      </c>
      <c r="H10" s="11">
        <f>'ЮГ-1'!E55</f>
        <v/>
      </c>
      <c r="I10" s="46">
        <f>MIN('ЮГ-1'!H55,'ЮГ-2'!H55,'ЮГ-3'!H55)</f>
        <v/>
      </c>
      <c r="J10" s="11">
        <f>MIN('ЮГ-1'!L55,'ЮГ-2'!L55,'ЮГ-3'!L55)</f>
        <v/>
      </c>
      <c r="K10" s="11">
        <f>IF(J10&lt;0,"СРЫВ ГРАФИКА",IF(J10&lt;14,"РИСК","В ГРАФИКЕ"))</f>
        <v/>
      </c>
    </row>
    <row r="11" ht="22" customHeight="1">
      <c r="A11" s="11" t="n">
        <v>7</v>
      </c>
      <c r="B11" s="16">
        <f>Справочник!B39</f>
        <v/>
      </c>
      <c r="C11" s="11">
        <f>Справочник!C39</f>
        <v/>
      </c>
      <c r="D11" s="11">
        <f>'ЮГ-1'!D65</f>
        <v/>
      </c>
      <c r="E11" s="11">
        <f>'ЮГ-2'!D65</f>
        <v/>
      </c>
      <c r="F11" s="11">
        <f>'ЮГ-3'!D65</f>
        <v/>
      </c>
      <c r="G11" s="14">
        <f>SUM(D11:F11)</f>
        <v/>
      </c>
      <c r="H11" s="11">
        <f>'ЮГ-1'!E65</f>
        <v/>
      </c>
      <c r="I11" s="46">
        <f>MIN('ЮГ-1'!H65,'ЮГ-2'!H65,'ЮГ-3'!H65)</f>
        <v/>
      </c>
      <c r="J11" s="11">
        <f>MIN('ЮГ-1'!L65,'ЮГ-2'!L65,'ЮГ-3'!L65)</f>
        <v/>
      </c>
      <c r="K11" s="11">
        <f>IF(J11&lt;0,"СРЫВ ГРАФИКА",IF(J11&lt;14,"РИСК","В ГРАФИКЕ"))</f>
        <v/>
      </c>
    </row>
    <row r="12" ht="22" customHeight="1">
      <c r="A12" s="11" t="n">
        <v>8</v>
      </c>
      <c r="B12" s="16">
        <f>Справочник!B40</f>
        <v/>
      </c>
      <c r="C12" s="11">
        <f>Справочник!C40</f>
        <v/>
      </c>
      <c r="D12" s="11">
        <f>'ЮГ-1'!D75</f>
        <v/>
      </c>
      <c r="E12" s="11">
        <f>'ЮГ-2'!D75</f>
        <v/>
      </c>
      <c r="F12" s="11">
        <f>'ЮГ-3'!D75</f>
        <v/>
      </c>
      <c r="G12" s="14">
        <f>SUM(D12:F12)</f>
        <v/>
      </c>
      <c r="H12" s="11">
        <f>'ЮГ-1'!E75</f>
        <v/>
      </c>
      <c r="I12" s="46">
        <f>MIN('ЮГ-1'!H75,'ЮГ-2'!H75,'ЮГ-3'!H75)</f>
        <v/>
      </c>
      <c r="J12" s="11">
        <f>MIN('ЮГ-1'!L75,'ЮГ-2'!L75,'ЮГ-3'!L75)</f>
        <v/>
      </c>
      <c r="K12" s="11">
        <f>IF(J12&lt;0,"СРЫВ ГРАФИКА",IF(J12&lt;14,"РИСК","В ГРАФИКЕ"))</f>
        <v/>
      </c>
    </row>
    <row r="13" ht="22" customHeight="1">
      <c r="A13" s="11" t="n">
        <v>9</v>
      </c>
      <c r="B13" s="16">
        <f>Справочник!B41</f>
        <v/>
      </c>
      <c r="C13" s="11">
        <f>Справочник!C41</f>
        <v/>
      </c>
      <c r="D13" s="11">
        <f>'ЮГ-1'!D85</f>
        <v/>
      </c>
      <c r="E13" s="11">
        <f>'ЮГ-2'!D85</f>
        <v/>
      </c>
      <c r="F13" s="11">
        <f>'ЮГ-3'!D85</f>
        <v/>
      </c>
      <c r="G13" s="14">
        <f>SUM(D13:F13)</f>
        <v/>
      </c>
      <c r="H13" s="11">
        <f>'ЮГ-1'!E85</f>
        <v/>
      </c>
      <c r="I13" s="46">
        <f>MIN('ЮГ-1'!H85,'ЮГ-2'!H85,'ЮГ-3'!H85)</f>
        <v/>
      </c>
      <c r="J13" s="11">
        <f>MIN('ЮГ-1'!L85,'ЮГ-2'!L85,'ЮГ-3'!L85)</f>
        <v/>
      </c>
      <c r="K13" s="11">
        <f>IF(J13&lt;0,"СРЫВ ГРАФИКА",IF(J13&lt;14,"РИСК","В ГРАФИКЕ"))</f>
        <v/>
      </c>
    </row>
    <row r="14" ht="22" customHeight="1">
      <c r="A14" s="11" t="n">
        <v>10</v>
      </c>
      <c r="B14" s="16">
        <f>Справочник!B42</f>
        <v/>
      </c>
      <c r="C14" s="11">
        <f>Справочник!C42</f>
        <v/>
      </c>
      <c r="D14" s="11">
        <f>'ЮГ-1'!D95</f>
        <v/>
      </c>
      <c r="E14" s="11">
        <f>'ЮГ-2'!D95</f>
        <v/>
      </c>
      <c r="F14" s="11">
        <f>'ЮГ-3'!D95</f>
        <v/>
      </c>
      <c r="G14" s="14">
        <f>SUM(D14:F14)</f>
        <v/>
      </c>
      <c r="H14" s="11">
        <f>'ЮГ-1'!E95</f>
        <v/>
      </c>
      <c r="I14" s="46">
        <f>MIN('ЮГ-1'!H95,'ЮГ-2'!H95,'ЮГ-3'!H95)</f>
        <v/>
      </c>
      <c r="J14" s="11">
        <f>MIN('ЮГ-1'!L95,'ЮГ-2'!L95,'ЮГ-3'!L95)</f>
        <v/>
      </c>
      <c r="K14" s="11">
        <f>IF(J14&lt;0,"СРЫВ ГРАФИКА",IF(J14&lt;14,"РИСК","В ГРАФИКЕ"))</f>
        <v/>
      </c>
    </row>
    <row r="15" ht="22" customHeight="1">
      <c r="A15" s="11" t="n">
        <v>11</v>
      </c>
      <c r="B15" s="16">
        <f>Справочник!B43</f>
        <v/>
      </c>
      <c r="C15" s="11">
        <f>Справочник!C43</f>
        <v/>
      </c>
      <c r="D15" s="11">
        <f>'ЮГ-1'!D105</f>
        <v/>
      </c>
      <c r="E15" s="11">
        <f>'ЮГ-2'!D105</f>
        <v/>
      </c>
      <c r="F15" s="11">
        <f>'ЮГ-3'!D105</f>
        <v/>
      </c>
      <c r="G15" s="14">
        <f>SUM(D15:F15)</f>
        <v/>
      </c>
      <c r="H15" s="11">
        <f>'ЮГ-1'!E105</f>
        <v/>
      </c>
      <c r="I15" s="46">
        <f>MIN('ЮГ-1'!H105,'ЮГ-2'!H105,'ЮГ-3'!H105)</f>
        <v/>
      </c>
      <c r="J15" s="11">
        <f>MIN('ЮГ-1'!L105,'ЮГ-2'!L105,'ЮГ-3'!L105)</f>
        <v/>
      </c>
      <c r="K15" s="11">
        <f>IF(J15&lt;0,"СРЫВ ГРАФИКА",IF(J15&lt;14,"РИСК","В ГРАФИКЕ"))</f>
        <v/>
      </c>
    </row>
    <row r="16" ht="22" customHeight="1">
      <c r="A16" s="11" t="n">
        <v>12</v>
      </c>
      <c r="B16" s="16">
        <f>Справочник!B44</f>
        <v/>
      </c>
      <c r="C16" s="11">
        <f>Справочник!C44</f>
        <v/>
      </c>
      <c r="D16" s="11">
        <f>'ЮГ-1'!D115</f>
        <v/>
      </c>
      <c r="E16" s="11">
        <f>'ЮГ-2'!D115</f>
        <v/>
      </c>
      <c r="F16" s="11">
        <f>'ЮГ-3'!D115</f>
        <v/>
      </c>
      <c r="G16" s="14">
        <f>SUM(D16:F16)</f>
        <v/>
      </c>
      <c r="H16" s="11">
        <f>'ЮГ-1'!E115</f>
        <v/>
      </c>
      <c r="I16" s="46">
        <f>MIN('ЮГ-1'!H115,'ЮГ-2'!H115,'ЮГ-3'!H115)</f>
        <v/>
      </c>
      <c r="J16" s="11">
        <f>MIN('ЮГ-1'!L115,'ЮГ-2'!L115,'ЮГ-3'!L115)</f>
        <v/>
      </c>
      <c r="K16" s="11">
        <f>IF(J16&lt;0,"СРЫВ ГРАФИКА",IF(J16&lt;14,"РИСК","В ГРАФИКЕ"))</f>
        <v/>
      </c>
    </row>
    <row r="17" ht="22" customHeight="1">
      <c r="A17" s="11" t="n">
        <v>13</v>
      </c>
      <c r="B17" s="16">
        <f>Справочник!B45</f>
        <v/>
      </c>
      <c r="C17" s="11">
        <f>Справочник!C45</f>
        <v/>
      </c>
      <c r="D17" s="11">
        <f>'ЮГ-1'!D125</f>
        <v/>
      </c>
      <c r="E17" s="11">
        <f>'ЮГ-2'!D125</f>
        <v/>
      </c>
      <c r="F17" s="11">
        <f>'ЮГ-3'!D125</f>
        <v/>
      </c>
      <c r="G17" s="14">
        <f>SUM(D17:F17)</f>
        <v/>
      </c>
      <c r="H17" s="11">
        <f>'ЮГ-1'!E125</f>
        <v/>
      </c>
      <c r="I17" s="46">
        <f>MIN('ЮГ-1'!H125,'ЮГ-2'!H125,'ЮГ-3'!H125)</f>
        <v/>
      </c>
      <c r="J17" s="11">
        <f>MIN('ЮГ-1'!L125,'ЮГ-2'!L125,'ЮГ-3'!L125)</f>
        <v/>
      </c>
      <c r="K17" s="11">
        <f>IF(J17&lt;0,"СРЫВ ГРАФИКА",IF(J17&lt;14,"РИСК","В ГРАФИКЕ"))</f>
        <v/>
      </c>
    </row>
    <row r="18" ht="22" customHeight="1">
      <c r="A18" s="11" t="n">
        <v>14</v>
      </c>
      <c r="B18" s="16">
        <f>Справочник!B46</f>
        <v/>
      </c>
      <c r="C18" s="11">
        <f>Справочник!C46</f>
        <v/>
      </c>
      <c r="D18" s="11">
        <f>'ЮГ-1'!D135</f>
        <v/>
      </c>
      <c r="E18" s="11">
        <f>'ЮГ-2'!D135</f>
        <v/>
      </c>
      <c r="F18" s="11">
        <f>'ЮГ-3'!D135</f>
        <v/>
      </c>
      <c r="G18" s="14">
        <f>SUM(D18:F18)</f>
        <v/>
      </c>
      <c r="H18" s="11">
        <f>'ЮГ-1'!E135</f>
        <v/>
      </c>
      <c r="I18" s="46">
        <f>MIN('ЮГ-1'!H135,'ЮГ-2'!H135,'ЮГ-3'!H135)</f>
        <v/>
      </c>
      <c r="J18" s="11">
        <f>MIN('ЮГ-1'!L135,'ЮГ-2'!L135,'ЮГ-3'!L135)</f>
        <v/>
      </c>
      <c r="K18" s="11">
        <f>IF(J18&lt;0,"СРЫВ ГРАФИКА",IF(J18&lt;14,"РИСК","В ГРАФИКЕ"))</f>
        <v/>
      </c>
    </row>
  </sheetData>
  <autoFilter ref="A4:K18"/>
  <mergeCells count="2">
    <mergeCell ref="A2:K2"/>
    <mergeCell ref="A1:K1"/>
  </mergeCells>
  <conditionalFormatting sqref="J5:K18">
    <cfRule type="expression" priority="1" dxfId="0" stopIfTrue="1">
      <formula>$K5="В ГРАФИКЕ"</formula>
    </cfRule>
    <cfRule type="expression" priority="2" dxfId="1" stopIfTrue="1">
      <formula>$K5="РИСК"</formula>
    </cfRule>
    <cfRule type="expression" priority="3" dxfId="2" stopIfTrue="1">
      <formula>$K5="СРЫВ ГРАФИКА"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2026-09-15T09:31:28Z</dcterms:created>
  <dcterms:modified xsi:type="dcterms:W3CDTF">2026-09-15T09:31:30Z</dcterms:modified>
</cp:coreProperties>
</file>